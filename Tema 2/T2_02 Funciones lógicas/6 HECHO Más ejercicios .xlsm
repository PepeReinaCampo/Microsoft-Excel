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epea\Desktop\curso excell\tema 2\no entregables\MATERIAL CLASE\02 Funciones lógicas\"/>
    </mc:Choice>
  </mc:AlternateContent>
  <xr:revisionPtr revIDLastSave="0" documentId="13_ncr:1_{8B82271C-A655-4C5F-9DBE-2DED6A40AF48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I" sheetId="1" r:id="rId1"/>
    <sheet name="SI anidada" sheetId="3" r:id="rId2"/>
    <sheet name="Y y O" sheetId="5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1" i="1" l="1"/>
  <c r="K12" i="1"/>
  <c r="K13" i="1"/>
  <c r="K14" i="1"/>
  <c r="K10" i="1"/>
  <c r="K39" i="5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11" i="3"/>
  <c r="J12" i="3"/>
  <c r="J13" i="3"/>
  <c r="J14" i="3"/>
  <c r="J10" i="3"/>
  <c r="K48" i="1"/>
  <c r="K49" i="1"/>
  <c r="K50" i="1"/>
  <c r="K51" i="1"/>
  <c r="K47" i="1"/>
  <c r="J27" i="1"/>
  <c r="J28" i="1"/>
  <c r="J29" i="1"/>
  <c r="J30" i="1"/>
  <c r="J26" i="1"/>
  <c r="I14" i="3"/>
  <c r="I12" i="3"/>
</calcChain>
</file>

<file path=xl/sharedStrings.xml><?xml version="1.0" encoding="utf-8"?>
<sst xmlns="http://schemas.openxmlformats.org/spreadsheetml/2006/main" count="52" uniqueCount="36">
  <si>
    <t>Presupuesto</t>
  </si>
  <si>
    <t>Ventas reales</t>
  </si>
  <si>
    <t>Función SI</t>
  </si>
  <si>
    <t>Punto de equilibrio</t>
  </si>
  <si>
    <t>Importes</t>
  </si>
  <si>
    <t>Desde</t>
  </si>
  <si>
    <t>Hasta</t>
  </si>
  <si>
    <t>Tipo de riesgo</t>
  </si>
  <si>
    <t>Tipo de riesgo A</t>
  </si>
  <si>
    <t>Tipo de riesgo B</t>
  </si>
  <si>
    <t>Tipo de riesgo C</t>
  </si>
  <si>
    <t>∞</t>
  </si>
  <si>
    <t>Tipo de riesgo D</t>
  </si>
  <si>
    <t>Cliente</t>
  </si>
  <si>
    <t>Prom. fac.</t>
  </si>
  <si>
    <t>Riesgo cliente</t>
  </si>
  <si>
    <t>Cliente 1</t>
  </si>
  <si>
    <t>Cliente 2</t>
  </si>
  <si>
    <t>Cliente 3</t>
  </si>
  <si>
    <t>Cliente 4</t>
  </si>
  <si>
    <t>Cliente 5</t>
  </si>
  <si>
    <t>Cliente 6</t>
  </si>
  <si>
    <t>Cliente 7</t>
  </si>
  <si>
    <t>Cliente 8</t>
  </si>
  <si>
    <t>Cliente 9</t>
  </si>
  <si>
    <t>Cliente 10</t>
  </si>
  <si>
    <t xml:space="preserve">Fase proyecto </t>
  </si>
  <si>
    <t>Fase 1</t>
  </si>
  <si>
    <t>Fase 2</t>
  </si>
  <si>
    <t>Fase 3</t>
  </si>
  <si>
    <t>OK</t>
  </si>
  <si>
    <t>Estado</t>
  </si>
  <si>
    <t>Proyecto terminado</t>
  </si>
  <si>
    <t>Proyecto en curso</t>
  </si>
  <si>
    <t>Importe minimo</t>
  </si>
  <si>
    <t>HOLA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</si>
</sst>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#,##0.00\ &quot;€&quot;"/>
  </numFmts>
  <fonts count="22" x14ac:knownFonts="1">
    <font>
      <sz val="11"/>
      <color theme="1"/>
      <name val="Calibri"/>
      <family val="2"/>
      <scheme val="minor"/>
    </font>
    <font>
      <b/>
      <sz val="12"/>
      <color rgb="FF217346"/>
      <name val="Calibri"/>
      <family val="2"/>
      <scheme val="minor"/>
    </font>
    <font>
      <sz val="14"/>
      <color rgb="FF217346"/>
      <name val="Arial Black"/>
      <family val="2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5"/>
      <name val="Calibri"/>
      <family val="2"/>
      <scheme val="minor"/>
    </font>
    <font>
      <b/>
      <sz val="12"/>
      <color rgb="FF0070C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 tint="-0.34998626667073579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FF1DE"/>
        <bgColor indexed="64"/>
      </patternFill>
    </fill>
    <fill>
      <patternFill patternType="solid">
        <fgColor rgb="FF217346"/>
        <bgColor indexed="64"/>
      </patternFill>
    </fill>
    <fill>
      <patternFill patternType="solid">
        <fgColor rgb="FF217346"/>
        <bgColor theme="1"/>
      </patternFill>
    </fill>
    <fill>
      <gradientFill degree="180">
        <stop position="0">
          <color theme="0"/>
        </stop>
        <stop position="1">
          <color rgb="FF6DD9FF"/>
        </stop>
      </gradientFill>
    </fill>
  </fills>
  <borders count="2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indexed="64"/>
      </bottom>
      <diagonal/>
    </border>
    <border>
      <left/>
      <right style="thin">
        <color theme="1"/>
      </right>
      <top style="thin">
        <color theme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1"/>
      </top>
      <bottom/>
      <diagonal/>
    </border>
    <border>
      <left/>
      <right style="thin">
        <color indexed="64"/>
      </right>
      <top style="thin">
        <color theme="1"/>
      </top>
      <bottom/>
      <diagonal/>
    </border>
    <border>
      <left style="thin">
        <color indexed="64"/>
      </left>
      <right/>
      <top style="thin">
        <color theme="1"/>
      </top>
      <bottom style="thin">
        <color indexed="64"/>
      </bottom>
      <diagonal/>
    </border>
    <border>
      <left/>
      <right style="thin">
        <color indexed="64"/>
      </right>
      <top style="thin">
        <color theme="1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theme="1"/>
      </top>
      <bottom style="thin">
        <color indexed="64"/>
      </bottom>
      <diagonal/>
    </border>
    <border>
      <left style="thin">
        <color indexed="64"/>
      </left>
      <right/>
      <top style="thin">
        <color theme="0"/>
      </top>
      <bottom style="thin">
        <color theme="0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</borders>
  <cellStyleXfs count="25">
    <xf numFmtId="0" fontId="0" fillId="0" borderId="0"/>
    <xf numFmtId="0" fontId="1" fillId="0" borderId="0"/>
    <xf numFmtId="0" fontId="4" fillId="0" borderId="0" applyNumberFormat="0" applyFill="0" applyBorder="0" applyAlignment="0" applyProtection="0"/>
    <xf numFmtId="0" fontId="5" fillId="0" borderId="1" applyNumberFormat="0" applyFill="0" applyAlignment="0" applyProtection="0"/>
    <xf numFmtId="0" fontId="6" fillId="0" borderId="2" applyNumberFormat="0" applyFill="0" applyAlignment="0" applyProtection="0"/>
    <xf numFmtId="0" fontId="7" fillId="0" borderId="3" applyNumberFormat="0" applyFill="0" applyAlignment="0" applyProtection="0"/>
    <xf numFmtId="0" fontId="7" fillId="0" borderId="0" applyNumberFormat="0" applyFill="0" applyBorder="0" applyAlignment="0" applyProtection="0"/>
    <xf numFmtId="0" fontId="8" fillId="2" borderId="0" applyNumberFormat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4" applyNumberFormat="0" applyAlignment="0" applyProtection="0"/>
    <xf numFmtId="0" fontId="12" fillId="6" borderId="5" applyNumberFormat="0" applyAlignment="0" applyProtection="0"/>
    <xf numFmtId="0" fontId="13" fillId="6" borderId="4" applyNumberFormat="0" applyAlignment="0" applyProtection="0"/>
    <xf numFmtId="0" fontId="14" fillId="0" borderId="6" applyNumberFormat="0" applyFill="0" applyAlignment="0" applyProtection="0"/>
    <xf numFmtId="0" fontId="15" fillId="7" borderId="7" applyNumberFormat="0" applyAlignment="0" applyProtection="0"/>
    <xf numFmtId="0" fontId="16" fillId="0" borderId="0" applyNumberFormat="0" applyFill="0" applyBorder="0" applyAlignment="0" applyProtection="0"/>
    <xf numFmtId="0" fontId="3" fillId="8" borderId="8" applyNumberFormat="0" applyFont="0" applyAlignment="0" applyProtection="0"/>
    <xf numFmtId="0" fontId="2" fillId="0" borderId="0"/>
    <xf numFmtId="0" fontId="1" fillId="0" borderId="0"/>
    <xf numFmtId="0" fontId="18" fillId="0" borderId="0"/>
    <xf numFmtId="0" fontId="17" fillId="0" borderId="0"/>
    <xf numFmtId="0" fontId="3" fillId="9" borderId="0"/>
    <xf numFmtId="0" fontId="3" fillId="10" borderId="0"/>
    <xf numFmtId="0" fontId="20" fillId="13" borderId="27"/>
    <xf numFmtId="0" fontId="21" fillId="13" borderId="27"/>
  </cellStyleXfs>
  <cellXfs count="46">
    <xf numFmtId="0" fontId="0" fillId="0" borderId="0" xfId="0"/>
    <xf numFmtId="0" fontId="0" fillId="10" borderId="11" xfId="22" applyFont="1" applyBorder="1" applyAlignment="1">
      <alignment horizontal="center"/>
    </xf>
    <xf numFmtId="0" fontId="15" fillId="12" borderId="9" xfId="0" applyFont="1" applyFill="1" applyBorder="1" applyAlignment="1">
      <alignment horizontal="right"/>
    </xf>
    <xf numFmtId="0" fontId="15" fillId="12" borderId="10" xfId="0" applyFont="1" applyFill="1" applyBorder="1" applyAlignment="1">
      <alignment horizontal="right"/>
    </xf>
    <xf numFmtId="0" fontId="15" fillId="12" borderId="11" xfId="0" applyFont="1" applyFill="1" applyBorder="1" applyAlignment="1">
      <alignment horizontal="center"/>
    </xf>
    <xf numFmtId="0" fontId="19" fillId="0" borderId="0" xfId="0" quotePrefix="1" applyFont="1"/>
    <xf numFmtId="0" fontId="0" fillId="9" borderId="11" xfId="22" applyFont="1" applyFill="1" applyBorder="1" applyAlignment="1">
      <alignment horizontal="center"/>
    </xf>
    <xf numFmtId="164" fontId="15" fillId="12" borderId="9" xfId="0" applyNumberFormat="1" applyFont="1" applyFill="1" applyBorder="1" applyAlignment="1">
      <alignment horizontal="right"/>
    </xf>
    <xf numFmtId="0" fontId="15" fillId="12" borderId="11" xfId="0" applyFont="1" applyFill="1" applyBorder="1" applyAlignment="1">
      <alignment horizontal="left" indent="2"/>
    </xf>
    <xf numFmtId="0" fontId="0" fillId="9" borderId="11" xfId="0" applyFill="1" applyBorder="1" applyAlignment="1">
      <alignment horizontal="left" indent="2"/>
    </xf>
    <xf numFmtId="164" fontId="15" fillId="12" borderId="19" xfId="0" applyNumberFormat="1" applyFont="1" applyFill="1" applyBorder="1" applyAlignment="1">
      <alignment horizontal="right"/>
    </xf>
    <xf numFmtId="0" fontId="15" fillId="12" borderId="20" xfId="0" applyFont="1" applyFill="1" applyBorder="1" applyAlignment="1">
      <alignment horizontal="left" indent="2"/>
    </xf>
    <xf numFmtId="0" fontId="15" fillId="12" borderId="9" xfId="0" applyFont="1" applyFill="1" applyBorder="1"/>
    <xf numFmtId="164" fontId="15" fillId="12" borderId="10" xfId="0" applyNumberFormat="1" applyFont="1" applyFill="1" applyBorder="1" applyAlignment="1">
      <alignment horizontal="right"/>
    </xf>
    <xf numFmtId="164" fontId="15" fillId="12" borderId="25" xfId="0" applyNumberFormat="1" applyFont="1" applyFill="1" applyBorder="1" applyAlignment="1">
      <alignment horizontal="right"/>
    </xf>
    <xf numFmtId="0" fontId="0" fillId="10" borderId="11" xfId="0" applyFill="1" applyBorder="1" applyAlignment="1">
      <alignment horizontal="left" indent="2"/>
    </xf>
    <xf numFmtId="0" fontId="15" fillId="11" borderId="14" xfId="0" applyFont="1" applyFill="1" applyBorder="1" applyAlignment="1">
      <alignment horizontal="center"/>
    </xf>
    <xf numFmtId="0" fontId="0" fillId="9" borderId="14" xfId="0" applyFill="1" applyBorder="1" applyAlignment="1">
      <alignment horizontal="center"/>
    </xf>
    <xf numFmtId="164" fontId="15" fillId="12" borderId="9" xfId="0" applyNumberFormat="1" applyFont="1" applyFill="1" applyBorder="1"/>
    <xf numFmtId="0" fontId="0" fillId="10" borderId="14" xfId="0" applyFill="1" applyBorder="1" applyAlignment="1">
      <alignment horizontal="center"/>
    </xf>
    <xf numFmtId="164" fontId="0" fillId="0" borderId="9" xfId="0" applyNumberFormat="1" applyBorder="1"/>
    <xf numFmtId="164" fontId="0" fillId="0" borderId="10" xfId="0" applyNumberFormat="1" applyBorder="1"/>
    <xf numFmtId="164" fontId="0" fillId="0" borderId="15" xfId="0" applyNumberFormat="1" applyBorder="1"/>
    <xf numFmtId="164" fontId="0" fillId="0" borderId="16" xfId="0" applyNumberFormat="1" applyBorder="1"/>
    <xf numFmtId="164" fontId="0" fillId="0" borderId="12" xfId="0" applyNumberFormat="1" applyBorder="1"/>
    <xf numFmtId="164" fontId="0" fillId="0" borderId="14" xfId="0" applyNumberFormat="1" applyBorder="1"/>
    <xf numFmtId="164" fontId="0" fillId="0" borderId="13" xfId="0" applyNumberFormat="1" applyBorder="1"/>
    <xf numFmtId="164" fontId="0" fillId="0" borderId="9" xfId="0" applyNumberFormat="1" applyBorder="1" applyAlignment="1">
      <alignment horizontal="right"/>
    </xf>
    <xf numFmtId="164" fontId="0" fillId="0" borderId="17" xfId="0" applyNumberFormat="1" applyBorder="1" applyAlignment="1">
      <alignment horizontal="right"/>
    </xf>
    <xf numFmtId="164" fontId="0" fillId="0" borderId="21" xfId="0" applyNumberFormat="1" applyBorder="1" applyAlignment="1">
      <alignment horizontal="right"/>
    </xf>
    <xf numFmtId="164" fontId="0" fillId="0" borderId="10" xfId="0" applyNumberFormat="1" applyBorder="1" applyAlignment="1">
      <alignment horizontal="right"/>
    </xf>
    <xf numFmtId="0" fontId="0" fillId="0" borderId="22" xfId="0" applyBorder="1" applyAlignment="1">
      <alignment horizontal="left" indent="2"/>
    </xf>
    <xf numFmtId="164" fontId="0" fillId="0" borderId="23" xfId="0" applyNumberFormat="1" applyBorder="1" applyAlignment="1">
      <alignment horizontal="right"/>
    </xf>
    <xf numFmtId="164" fontId="0" fillId="0" borderId="26" xfId="0" applyNumberFormat="1" applyBorder="1" applyAlignment="1">
      <alignment horizontal="right"/>
    </xf>
    <xf numFmtId="0" fontId="0" fillId="0" borderId="24" xfId="0" applyBorder="1" applyAlignment="1">
      <alignment horizontal="left" indent="2"/>
    </xf>
    <xf numFmtId="0" fontId="0" fillId="0" borderId="9" xfId="0" applyBorder="1"/>
    <xf numFmtId="0" fontId="0" fillId="0" borderId="15" xfId="0" applyBorder="1"/>
    <xf numFmtId="164" fontId="0" fillId="0" borderId="16" xfId="0" applyNumberFormat="1" applyBorder="1" applyAlignment="1">
      <alignment horizontal="right"/>
    </xf>
    <xf numFmtId="0" fontId="0" fillId="0" borderId="11" xfId="0" applyBorder="1" applyAlignment="1">
      <alignment horizontal="center"/>
    </xf>
    <xf numFmtId="164" fontId="0" fillId="0" borderId="17" xfId="0" applyNumberFormat="1" applyBorder="1"/>
    <xf numFmtId="0" fontId="0" fillId="0" borderId="18" xfId="0" applyBorder="1" applyAlignment="1">
      <alignment horizontal="center"/>
    </xf>
    <xf numFmtId="164" fontId="0" fillId="0" borderId="0" xfId="0" applyNumberFormat="1" applyAlignment="1">
      <alignment horizontal="right"/>
    </xf>
    <xf numFmtId="164" fontId="0" fillId="0" borderId="0" xfId="0" applyNumberFormat="1"/>
    <xf numFmtId="0" fontId="15" fillId="12" borderId="14" xfId="0" applyFont="1" applyFill="1" applyBorder="1" applyAlignment="1">
      <alignment horizontal="center" wrapText="1"/>
    </xf>
    <xf numFmtId="0" fontId="0" fillId="9" borderId="28" xfId="22" applyFont="1" applyFill="1" applyBorder="1" applyAlignment="1">
      <alignment horizontal="center"/>
    </xf>
    <xf numFmtId="0" fontId="0" fillId="10" borderId="28" xfId="22" applyFont="1" applyBorder="1" applyAlignment="1">
      <alignment horizontal="center"/>
    </xf>
  </cellXfs>
  <cellStyles count="25">
    <cellStyle name="1ArialBlack14" xfId="17" xr:uid="{00000000-0005-0000-0000-000000000000}"/>
    <cellStyle name="2Cal12" xfId="18" xr:uid="{00000000-0005-0000-0000-000001000000}"/>
    <cellStyle name="3CalAzu12" xfId="19" xr:uid="{00000000-0005-0000-0000-000002000000}"/>
    <cellStyle name="4CalNar12" xfId="20" xr:uid="{00000000-0005-0000-0000-000003000000}"/>
    <cellStyle name="5Fórmula" xfId="21" xr:uid="{00000000-0005-0000-0000-000004000000}"/>
    <cellStyle name="6Usuario" xfId="22" xr:uid="{00000000-0005-0000-0000-000005000000}"/>
    <cellStyle name="Bueno" xfId="7" builtinId="26" hidden="1"/>
    <cellStyle name="Cálculo" xfId="12" builtinId="22" hidden="1"/>
    <cellStyle name="Celda de comprobación" xfId="14" builtinId="23" hidden="1"/>
    <cellStyle name="Celda vinculada" xfId="13" builtinId="24" hidden="1"/>
    <cellStyle name="Encabezado 1" xfId="3" builtinId="16" hidden="1"/>
    <cellStyle name="Encabezado 4" xfId="6" builtinId="19" hidden="1"/>
    <cellStyle name="Entrada" xfId="10" builtinId="20" hidden="1"/>
    <cellStyle name="Incorrecto" xfId="8" builtinId="27" hidden="1"/>
    <cellStyle name="Neutral" xfId="9" builtinId="28" hidden="1"/>
    <cellStyle name="Normal" xfId="0" builtinId="0"/>
    <cellStyle name="Notas" xfId="16" builtinId="10" hidden="1"/>
    <cellStyle name="Salida" xfId="11" builtinId="21" hidden="1"/>
    <cellStyle name="SoluciónOculta" xfId="23" xr:uid="{00000000-0005-0000-0000-000012000000}"/>
    <cellStyle name="SolucionVisible" xfId="24" xr:uid="{00000000-0005-0000-0000-000013000000}"/>
    <cellStyle name="Texto de advertencia" xfId="15" builtinId="11" hidden="1"/>
    <cellStyle name="Título" xfId="2" builtinId="15" hidden="1"/>
    <cellStyle name="Título 2" xfId="4" builtinId="17" hidden="1"/>
    <cellStyle name="Título 3" xfId="5" builtinId="18" hidden="1"/>
    <cellStyle name="Total" xfId="1" builtinId="25" hidden="1" customBuiltin="1"/>
  </cellStyles>
  <dxfs count="9">
    <dxf>
      <border>
        <left style="thin">
          <color theme="1"/>
        </left>
      </border>
    </dxf>
    <dxf>
      <border>
        <left style="thin">
          <color theme="1"/>
        </left>
      </border>
    </dxf>
    <dxf>
      <border>
        <top style="thin">
          <color theme="1"/>
        </top>
      </border>
    </dxf>
    <dxf>
      <border>
        <top style="thin">
          <color theme="1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fill>
        <patternFill>
          <bgColor rgb="FF94E0B6"/>
        </patternFill>
      </fill>
      <border>
        <top style="double">
          <color theme="1"/>
        </top>
      </border>
    </dxf>
    <dxf>
      <font>
        <b/>
        <color theme="0"/>
      </font>
      <fill>
        <patternFill patternType="solid">
          <fgColor theme="1"/>
          <bgColor rgb="FF217346"/>
        </patternFill>
      </fill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</dxfs>
  <tableStyles count="1" defaultTableStyle="TableStyleMedium2" defaultPivotStyle="PivotStyleLight16">
    <tableStyle name="Personalizado" pivot="0" count="9" xr9:uid="{00000000-0011-0000-FFFF-FFFF00000000}">
      <tableStyleElement type="wholeTable" dxfId="8"/>
      <tableStyleElement type="headerRow" dxfId="7"/>
      <tableStyleElement type="totalRow" dxfId="6"/>
      <tableStyleElement type="firstColumn" dxfId="5"/>
      <tableStyleElement type="lastColumn" dxfId="4"/>
      <tableStyleElement type="firstRowStripe" dxfId="3"/>
      <tableStyleElement type="secondRowStripe" dxfId="2"/>
      <tableStyleElement type="firstColumnStripe" dxfId="1"/>
      <tableStyleElement type="secondColumnStripe" dxfId="0"/>
    </tableStyle>
  </tableStyles>
  <colors>
    <mruColors>
      <color rgb="FF217346"/>
      <color rgb="FFCFF1DE"/>
      <color rgb="FF94E0B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1774</xdr:rowOff>
    </xdr:from>
    <xdr:to>
      <xdr:col>25</xdr:col>
      <xdr:colOff>1711</xdr:colOff>
      <xdr:row>4</xdr:row>
      <xdr:rowOff>9256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69548DA2-BE0E-43FE-8BBF-16F203573027}"/>
            </a:ext>
          </a:extLst>
        </xdr:cNvPr>
        <xdr:cNvSpPr txBox="1"/>
      </xdr:nvSpPr>
      <xdr:spPr>
        <a:xfrm>
          <a:off x="117337" y="124238"/>
          <a:ext cx="18980978" cy="579783"/>
        </a:xfrm>
        <a:prstGeom prst="rect">
          <a:avLst/>
        </a:prstGeom>
        <a:solidFill>
          <a:srgbClr val="217346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r>
            <a:rPr lang="es-ES" sz="2800" b="1">
              <a:solidFill>
                <a:schemeClr val="bg1"/>
              </a:solidFill>
              <a:latin typeface="+mn-lt"/>
            </a:rPr>
            <a:t>La función SI</a:t>
          </a:r>
        </a:p>
      </xdr:txBody>
    </xdr:sp>
    <xdr:clientData/>
  </xdr:twoCellAnchor>
  <xdr:twoCellAnchor editAs="absolute">
    <xdr:from>
      <xdr:col>1</xdr:col>
      <xdr:colOff>0</xdr:colOff>
      <xdr:row>24</xdr:row>
      <xdr:rowOff>7406</xdr:rowOff>
    </xdr:from>
    <xdr:to>
      <xdr:col>7</xdr:col>
      <xdr:colOff>634999</xdr:colOff>
      <xdr:row>27</xdr:row>
      <xdr:rowOff>179455</xdr:rowOff>
    </xdr:to>
    <xdr:sp macro="" textlink="">
      <xdr:nvSpPr>
        <xdr:cNvPr id="44" name="CuadroTexto 43">
          <a:extLst>
            <a:ext uri="{FF2B5EF4-FFF2-40B4-BE49-F238E27FC236}">
              <a16:creationId xmlns:a16="http://schemas.microsoft.com/office/drawing/2014/main" id="{F9C3BD1C-4F95-40CC-A8BB-76F63B860459}"/>
            </a:ext>
          </a:extLst>
        </xdr:cNvPr>
        <xdr:cNvSpPr txBox="1"/>
      </xdr:nvSpPr>
      <xdr:spPr>
        <a:xfrm>
          <a:off x="117337" y="4569238"/>
          <a:ext cx="4548532" cy="759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l"/>
          <a:r>
            <a:rPr lang="es-ES" sz="2000">
              <a:solidFill>
                <a:srgbClr val="217346"/>
              </a:solidFill>
            </a:rPr>
            <a:t>❶</a:t>
          </a:r>
          <a:r>
            <a:rPr lang="es-ES" sz="1100"/>
            <a:t> Introducir una función </a:t>
          </a:r>
          <a:r>
            <a:rPr lang="es-ES" sz="1100" b="1">
              <a:solidFill>
                <a:srgbClr val="217346"/>
              </a:solidFill>
            </a:rPr>
            <a:t>SI</a:t>
          </a:r>
          <a:r>
            <a:rPr lang="es-ES" sz="1100"/>
            <a:t> que devuelva un</a:t>
          </a:r>
          <a:r>
            <a:rPr lang="es-ES" sz="1100" baseline="0"/>
            <a:t> número </a:t>
          </a:r>
          <a:r>
            <a:rPr lang="es-ES" sz="1100" b="1" baseline="0">
              <a:solidFill>
                <a:srgbClr val="217346"/>
              </a:solidFill>
            </a:rPr>
            <a:t>1</a:t>
          </a:r>
          <a:r>
            <a:rPr lang="es-ES" sz="1100" baseline="0"/>
            <a:t> si las ventas reales han superado al punto de equilibrio. En caso contrario, que devuelva un </a:t>
          </a:r>
          <a:r>
            <a:rPr lang="es-ES" sz="1100" b="1" baseline="0">
              <a:solidFill>
                <a:srgbClr val="217346"/>
              </a:solidFill>
            </a:rPr>
            <a:t>0</a:t>
          </a:r>
          <a:r>
            <a:rPr lang="es-ES" sz="1100" baseline="0"/>
            <a:t>.</a:t>
          </a:r>
          <a:endParaRPr lang="es-ES" sz="1100"/>
        </a:p>
      </xdr:txBody>
    </xdr:sp>
    <xdr:clientData/>
  </xdr:twoCellAnchor>
  <xdr:twoCellAnchor editAs="absolute">
    <xdr:from>
      <xdr:col>1</xdr:col>
      <xdr:colOff>0</xdr:colOff>
      <xdr:row>38</xdr:row>
      <xdr:rowOff>142874</xdr:rowOff>
    </xdr:from>
    <xdr:to>
      <xdr:col>7</xdr:col>
      <xdr:colOff>634999</xdr:colOff>
      <xdr:row>41</xdr:row>
      <xdr:rowOff>46105</xdr:rowOff>
    </xdr:to>
    <xdr:sp macro="" textlink="">
      <xdr:nvSpPr>
        <xdr:cNvPr id="45" name="CuadroTexto 44">
          <a:extLst>
            <a:ext uri="{FF2B5EF4-FFF2-40B4-BE49-F238E27FC236}">
              <a16:creationId xmlns:a16="http://schemas.microsoft.com/office/drawing/2014/main" id="{2CC7A076-1453-4C90-9BEA-68E16351BAE4}"/>
            </a:ext>
          </a:extLst>
        </xdr:cNvPr>
        <xdr:cNvSpPr txBox="1"/>
      </xdr:nvSpPr>
      <xdr:spPr>
        <a:xfrm>
          <a:off x="114300" y="7315199"/>
          <a:ext cx="4559299" cy="4747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l"/>
          <a:r>
            <a:rPr lang="es-ES" sz="2000">
              <a:solidFill>
                <a:srgbClr val="217346"/>
              </a:solidFill>
            </a:rPr>
            <a:t>❷</a:t>
          </a:r>
          <a:r>
            <a:rPr lang="es-ES" sz="1100"/>
            <a:t> Rellenar la fórmula</a:t>
          </a:r>
          <a:r>
            <a:rPr lang="es-ES" sz="1100" baseline="0"/>
            <a:t> tirando del controlador de relleno.</a:t>
          </a:r>
          <a:endParaRPr lang="es-ES" sz="1100"/>
        </a:p>
      </xdr:txBody>
    </xdr:sp>
    <xdr:clientData/>
  </xdr:twoCellAnchor>
  <xdr:twoCellAnchor editAs="absolute">
    <xdr:from>
      <xdr:col>1</xdr:col>
      <xdr:colOff>0</xdr:colOff>
      <xdr:row>5</xdr:row>
      <xdr:rowOff>0</xdr:rowOff>
    </xdr:from>
    <xdr:to>
      <xdr:col>6</xdr:col>
      <xdr:colOff>0</xdr:colOff>
      <xdr:row>20</xdr:row>
      <xdr:rowOff>129268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id="{9C79063A-538D-4158-A9C2-D0243F49FC30}"/>
            </a:ext>
          </a:extLst>
        </xdr:cNvPr>
        <xdr:cNvGrpSpPr/>
      </xdr:nvGrpSpPr>
      <xdr:grpSpPr>
        <a:xfrm>
          <a:off x="114300" y="853440"/>
          <a:ext cx="3962400" cy="2872468"/>
          <a:chOff x="117337" y="897283"/>
          <a:chExt cx="3796196" cy="3034912"/>
        </a:xfrm>
      </xdr:grpSpPr>
      <xdr:sp macro="" textlink="">
        <xdr:nvSpPr>
          <xdr:cNvPr id="43" name="CuadroTexto 42">
            <a:extLst>
              <a:ext uri="{FF2B5EF4-FFF2-40B4-BE49-F238E27FC236}">
                <a16:creationId xmlns:a16="http://schemas.microsoft.com/office/drawing/2014/main" id="{8C0F1FF2-85BD-445A-B147-04A8C56B831E}"/>
              </a:ext>
            </a:extLst>
          </xdr:cNvPr>
          <xdr:cNvSpPr txBox="1"/>
        </xdr:nvSpPr>
        <xdr:spPr>
          <a:xfrm>
            <a:off x="117337" y="1283804"/>
            <a:ext cx="3796196" cy="2648391"/>
          </a:xfrm>
          <a:prstGeom prst="rect">
            <a:avLst/>
          </a:prstGeom>
          <a:solidFill>
            <a:schemeClr val="bg1">
              <a:lumMod val="95000"/>
            </a:schemeClr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s-ES" sz="1100"/>
              <a:t>La función </a:t>
            </a:r>
            <a:r>
              <a:rPr lang="es-ES" sz="1100" b="1">
                <a:solidFill>
                  <a:srgbClr val="217346"/>
                </a:solidFill>
              </a:rPr>
              <a:t>SI</a:t>
            </a:r>
            <a:r>
              <a:rPr lang="es-ES" sz="1100"/>
              <a:t> es una instrucción que sirve para obtener una respuesta (entre dos posibles) a una comprobación que realizamos con</a:t>
            </a:r>
            <a:r>
              <a:rPr lang="es-ES" sz="1100" baseline="0"/>
              <a:t> una prueba lógica.</a:t>
            </a:r>
          </a:p>
          <a:p>
            <a:endParaRPr lang="es-ES" sz="1100" baseline="0"/>
          </a:p>
          <a:p>
            <a:r>
              <a:rPr lang="es-ES" sz="1100"/>
              <a:t>La sintaxis de la función es:</a:t>
            </a:r>
          </a:p>
          <a:p>
            <a:endParaRPr lang="es-ES" sz="1100"/>
          </a:p>
          <a:p>
            <a:r>
              <a:rPr lang="es-ES" sz="1100" b="1"/>
              <a:t>=SI</a:t>
            </a:r>
            <a:r>
              <a:rPr lang="es-ES" sz="1100" b="1" u="none"/>
              <a:t>(</a:t>
            </a:r>
            <a:r>
              <a:rPr lang="es-ES" sz="1100" b="1" u="none" baseline="0">
                <a:solidFill>
                  <a:schemeClr val="bg1">
                    <a:lumMod val="75000"/>
                  </a:schemeClr>
                </a:solidFill>
              </a:rPr>
              <a:t> </a:t>
            </a:r>
            <a:r>
              <a:rPr lang="es-ES" sz="1100" b="0" i="0" u="none" baseline="0">
                <a:solidFill>
                  <a:srgbClr val="217346"/>
                </a:solidFill>
                <a:latin typeface="+mj-lt"/>
              </a:rPr>
              <a:t>prueba lógica </a:t>
            </a:r>
            <a:r>
              <a:rPr lang="es-ES" sz="1100" b="1" u="none" baseline="0"/>
              <a:t>;</a:t>
            </a:r>
            <a:r>
              <a:rPr lang="es-ES" sz="1100" b="0" u="none" baseline="0"/>
              <a:t> </a:t>
            </a:r>
            <a:r>
              <a:rPr lang="es-ES" sz="1100" b="0" u="none" baseline="0">
                <a:solidFill>
                  <a:srgbClr val="217346"/>
                </a:solidFill>
              </a:rPr>
              <a:t>[</a:t>
            </a:r>
            <a:r>
              <a:rPr lang="es-ES" sz="1100" b="0" i="0" u="none" baseline="0">
                <a:solidFill>
                  <a:srgbClr val="217346"/>
                </a:solidFill>
                <a:latin typeface="+mj-lt"/>
              </a:rPr>
              <a:t>valor si es verdad] </a:t>
            </a:r>
            <a:r>
              <a:rPr lang="es-ES" sz="1100" b="1" u="none" baseline="0"/>
              <a:t>; </a:t>
            </a:r>
            <a:r>
              <a:rPr lang="es-ES" sz="1100" b="0" u="none" baseline="0">
                <a:solidFill>
                  <a:srgbClr val="217346"/>
                </a:solidFill>
              </a:rPr>
              <a:t>[</a:t>
            </a:r>
            <a:r>
              <a:rPr lang="es-ES" sz="1100" b="0" i="0" u="none" baseline="0">
                <a:solidFill>
                  <a:srgbClr val="217346"/>
                </a:solidFill>
                <a:latin typeface="+mj-lt"/>
              </a:rPr>
              <a:t>valor si no es verdad] </a:t>
            </a:r>
            <a:r>
              <a:rPr lang="es-ES" sz="1100" b="1" baseline="0"/>
              <a:t>)</a:t>
            </a:r>
            <a:endParaRPr lang="es-ES" sz="1100" b="1"/>
          </a:p>
          <a:p>
            <a:endParaRPr lang="es-ES" sz="1100"/>
          </a:p>
          <a:p>
            <a:r>
              <a:rPr lang="es-ES" sz="1100"/>
              <a:t>Prueba lógica: es una comparación con un operador de comparación </a:t>
            </a:r>
            <a:r>
              <a:rPr lang="es-ES" sz="1100" b="0" i="1"/>
              <a:t>(=, &gt;, &lt;, &gt;=, &lt;=, &lt;&gt;)</a:t>
            </a:r>
          </a:p>
          <a:p>
            <a:endParaRPr lang="es-ES" sz="1100"/>
          </a:p>
          <a:p>
            <a:r>
              <a:rPr lang="es-ES" sz="1100"/>
              <a:t>Los tres argumentos admiten </a:t>
            </a:r>
            <a:r>
              <a:rPr lang="es-ES" sz="1100" baseline="0"/>
              <a:t>operaciones matemáticas,textos,  referencias a otras celdas, otras funciones anidadas, etc.</a:t>
            </a:r>
            <a:endParaRPr lang="es-ES" sz="1100"/>
          </a:p>
        </xdr:txBody>
      </xdr:sp>
      <xdr:sp macro="" textlink="">
        <xdr:nvSpPr>
          <xdr:cNvPr id="35" name="CuadroTexto 34">
            <a:extLst>
              <a:ext uri="{FF2B5EF4-FFF2-40B4-BE49-F238E27FC236}">
                <a16:creationId xmlns:a16="http://schemas.microsoft.com/office/drawing/2014/main" id="{D1DF6423-4EA2-4F80-BF5D-F4993ECAF820}"/>
              </a:ext>
            </a:extLst>
          </xdr:cNvPr>
          <xdr:cNvSpPr txBox="1"/>
        </xdr:nvSpPr>
        <xdr:spPr>
          <a:xfrm>
            <a:off x="117337" y="897283"/>
            <a:ext cx="3796196" cy="386521"/>
          </a:xfrm>
          <a:prstGeom prst="rect">
            <a:avLst/>
          </a:prstGeom>
          <a:solidFill>
            <a:schemeClr val="bg1">
              <a:lumMod val="85000"/>
            </a:schemeClr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r>
              <a:rPr lang="es-ES" sz="1600" b="1">
                <a:solidFill>
                  <a:srgbClr val="217346"/>
                </a:solidFill>
                <a:latin typeface="+mn-lt"/>
              </a:rPr>
              <a:t>        ¿Qué es?</a:t>
            </a:r>
          </a:p>
        </xdr:txBody>
      </xdr:sp>
      <xdr:pic>
        <xdr:nvPicPr>
          <xdr:cNvPr id="59" name="Gráfico 58" descr="Libros">
            <a:extLst>
              <a:ext uri="{FF2B5EF4-FFF2-40B4-BE49-F238E27FC236}">
                <a16:creationId xmlns:a16="http://schemas.microsoft.com/office/drawing/2014/main" id="{412BA44F-A253-440A-A3A0-BBC00BEA44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6360" y="931794"/>
            <a:ext cx="312530" cy="312530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0</xdr:colOff>
      <xdr:row>5</xdr:row>
      <xdr:rowOff>0</xdr:rowOff>
    </xdr:from>
    <xdr:to>
      <xdr:col>16</xdr:col>
      <xdr:colOff>121920</xdr:colOff>
      <xdr:row>7</xdr:row>
      <xdr:rowOff>5521</xdr:rowOff>
    </xdr:to>
    <xdr:grpSp>
      <xdr:nvGrpSpPr>
        <xdr:cNvPr id="118" name="Grupo 117">
          <a:extLst>
            <a:ext uri="{FF2B5EF4-FFF2-40B4-BE49-F238E27FC236}">
              <a16:creationId xmlns:a16="http://schemas.microsoft.com/office/drawing/2014/main" id="{60539EB0-BAD9-4A41-BA23-20DB9D4A27BE}"/>
            </a:ext>
          </a:extLst>
        </xdr:cNvPr>
        <xdr:cNvGrpSpPr/>
      </xdr:nvGrpSpPr>
      <xdr:grpSpPr>
        <a:xfrm>
          <a:off x="4191000" y="853440"/>
          <a:ext cx="8564880" cy="371281"/>
          <a:chOff x="4030870" y="897283"/>
          <a:chExt cx="8255000" cy="392042"/>
        </a:xfrm>
      </xdr:grpSpPr>
      <xdr:sp macro="" textlink="">
        <xdr:nvSpPr>
          <xdr:cNvPr id="94" name="CuadroTexto 93">
            <a:extLst>
              <a:ext uri="{FF2B5EF4-FFF2-40B4-BE49-F238E27FC236}">
                <a16:creationId xmlns:a16="http://schemas.microsoft.com/office/drawing/2014/main" id="{56FDE2D8-82D8-4372-9AA9-8B34AC817BA9}"/>
              </a:ext>
            </a:extLst>
          </xdr:cNvPr>
          <xdr:cNvSpPr txBox="1"/>
        </xdr:nvSpPr>
        <xdr:spPr>
          <a:xfrm>
            <a:off x="4030870" y="897283"/>
            <a:ext cx="8255000" cy="392042"/>
          </a:xfrm>
          <a:prstGeom prst="rect">
            <a:avLst/>
          </a:prstGeom>
          <a:solidFill>
            <a:schemeClr val="bg1">
              <a:lumMod val="85000"/>
            </a:schemeClr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r>
              <a:rPr lang="es-ES" sz="1600" b="1">
                <a:solidFill>
                  <a:srgbClr val="217346"/>
                </a:solidFill>
                <a:latin typeface="+mn-lt"/>
              </a:rPr>
              <a:t>        Ejemplo: construir una columna con indicadores numéricos con la función SI</a:t>
            </a:r>
          </a:p>
        </xdr:txBody>
      </xdr:sp>
      <xdr:grpSp>
        <xdr:nvGrpSpPr>
          <xdr:cNvPr id="101" name="Gráfico 99" descr="Maestro">
            <a:extLst>
              <a:ext uri="{FF2B5EF4-FFF2-40B4-BE49-F238E27FC236}">
                <a16:creationId xmlns:a16="http://schemas.microsoft.com/office/drawing/2014/main" id="{63DAC1BA-7BF9-4AA1-9847-7721C88FEF9B}"/>
              </a:ext>
            </a:extLst>
          </xdr:cNvPr>
          <xdr:cNvGrpSpPr/>
        </xdr:nvGrpSpPr>
        <xdr:grpSpPr>
          <a:xfrm>
            <a:off x="4065381" y="917989"/>
            <a:ext cx="348422" cy="348422"/>
            <a:chOff x="4030870" y="3602935"/>
            <a:chExt cx="914400" cy="914400"/>
          </a:xfrm>
          <a:solidFill>
            <a:srgbClr val="217346"/>
          </a:solidFill>
        </xdr:grpSpPr>
        <xdr:sp macro="" textlink="">
          <xdr:nvSpPr>
            <xdr:cNvPr id="102" name="Forma libre: forma 101">
              <a:extLst>
                <a:ext uri="{FF2B5EF4-FFF2-40B4-BE49-F238E27FC236}">
                  <a16:creationId xmlns:a16="http://schemas.microsoft.com/office/drawing/2014/main" id="{FBA6964A-6159-4A1C-A758-1FB1AF12D5B3}"/>
                </a:ext>
              </a:extLst>
            </xdr:cNvPr>
            <xdr:cNvSpPr/>
          </xdr:nvSpPr>
          <xdr:spPr>
            <a:xfrm>
              <a:off x="4212321" y="3776766"/>
              <a:ext cx="695325" cy="485775"/>
            </a:xfrm>
            <a:custGeom>
              <a:avLst/>
              <a:gdLst>
                <a:gd name="connsiteX0" fmla="*/ 654844 w 695325"/>
                <a:gd name="connsiteY0" fmla="*/ 7144 h 485775"/>
                <a:gd name="connsiteX1" fmla="*/ 45244 w 695325"/>
                <a:gd name="connsiteY1" fmla="*/ 7144 h 485775"/>
                <a:gd name="connsiteX2" fmla="*/ 7144 w 695325"/>
                <a:gd name="connsiteY2" fmla="*/ 45244 h 485775"/>
                <a:gd name="connsiteX3" fmla="*/ 7144 w 695325"/>
                <a:gd name="connsiteY3" fmla="*/ 183356 h 485775"/>
                <a:gd name="connsiteX4" fmla="*/ 41434 w 695325"/>
                <a:gd name="connsiteY4" fmla="*/ 178594 h 485775"/>
                <a:gd name="connsiteX5" fmla="*/ 64294 w 695325"/>
                <a:gd name="connsiteY5" fmla="*/ 180499 h 485775"/>
                <a:gd name="connsiteX6" fmla="*/ 64294 w 695325"/>
                <a:gd name="connsiteY6" fmla="*/ 64294 h 485775"/>
                <a:gd name="connsiteX7" fmla="*/ 635794 w 695325"/>
                <a:gd name="connsiteY7" fmla="*/ 64294 h 485775"/>
                <a:gd name="connsiteX8" fmla="*/ 635794 w 695325"/>
                <a:gd name="connsiteY8" fmla="*/ 426244 h 485775"/>
                <a:gd name="connsiteX9" fmla="*/ 312896 w 695325"/>
                <a:gd name="connsiteY9" fmla="*/ 426244 h 485775"/>
                <a:gd name="connsiteX10" fmla="*/ 258604 w 695325"/>
                <a:gd name="connsiteY10" fmla="*/ 483394 h 485775"/>
                <a:gd name="connsiteX11" fmla="*/ 654844 w 695325"/>
                <a:gd name="connsiteY11" fmla="*/ 483394 h 485775"/>
                <a:gd name="connsiteX12" fmla="*/ 692944 w 695325"/>
                <a:gd name="connsiteY12" fmla="*/ 445294 h 485775"/>
                <a:gd name="connsiteX13" fmla="*/ 692944 w 695325"/>
                <a:gd name="connsiteY13" fmla="*/ 45244 h 485775"/>
                <a:gd name="connsiteX14" fmla="*/ 654844 w 695325"/>
                <a:gd name="connsiteY14" fmla="*/ 7144 h 48577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</a:cxnLst>
              <a:rect l="l" t="t" r="r" b="b"/>
              <a:pathLst>
                <a:path w="695325" h="485775">
                  <a:moveTo>
                    <a:pt x="654844" y="7144"/>
                  </a:moveTo>
                  <a:lnTo>
                    <a:pt x="45244" y="7144"/>
                  </a:lnTo>
                  <a:cubicBezTo>
                    <a:pt x="24289" y="7144"/>
                    <a:pt x="7144" y="24289"/>
                    <a:pt x="7144" y="45244"/>
                  </a:cubicBezTo>
                  <a:lnTo>
                    <a:pt x="7144" y="183356"/>
                  </a:lnTo>
                  <a:cubicBezTo>
                    <a:pt x="17621" y="180499"/>
                    <a:pt x="30004" y="178594"/>
                    <a:pt x="41434" y="178594"/>
                  </a:cubicBezTo>
                  <a:cubicBezTo>
                    <a:pt x="49054" y="178594"/>
                    <a:pt x="56674" y="179546"/>
                    <a:pt x="64294" y="180499"/>
                  </a:cubicBezTo>
                  <a:lnTo>
                    <a:pt x="64294" y="64294"/>
                  </a:lnTo>
                  <a:lnTo>
                    <a:pt x="635794" y="64294"/>
                  </a:lnTo>
                  <a:lnTo>
                    <a:pt x="635794" y="426244"/>
                  </a:lnTo>
                  <a:lnTo>
                    <a:pt x="312896" y="426244"/>
                  </a:lnTo>
                  <a:lnTo>
                    <a:pt x="258604" y="483394"/>
                  </a:lnTo>
                  <a:lnTo>
                    <a:pt x="654844" y="483394"/>
                  </a:lnTo>
                  <a:cubicBezTo>
                    <a:pt x="675799" y="483394"/>
                    <a:pt x="692944" y="466249"/>
                    <a:pt x="692944" y="445294"/>
                  </a:cubicBezTo>
                  <a:lnTo>
                    <a:pt x="692944" y="45244"/>
                  </a:lnTo>
                  <a:cubicBezTo>
                    <a:pt x="692944" y="24289"/>
                    <a:pt x="675799" y="7144"/>
                    <a:pt x="654844" y="7144"/>
                  </a:cubicBezTo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es-ES"/>
            </a:p>
          </xdr:txBody>
        </xdr:sp>
        <xdr:sp macro="" textlink="">
          <xdr:nvSpPr>
            <xdr:cNvPr id="103" name="Forma libre: forma 102">
              <a:extLst>
                <a:ext uri="{FF2B5EF4-FFF2-40B4-BE49-F238E27FC236}">
                  <a16:creationId xmlns:a16="http://schemas.microsoft.com/office/drawing/2014/main" id="{0CFEB293-0171-4AC2-B9AE-BA7D8A50083B}"/>
                </a:ext>
              </a:extLst>
            </xdr:cNvPr>
            <xdr:cNvSpPr/>
          </xdr:nvSpPr>
          <xdr:spPr>
            <a:xfrm>
              <a:off x="4166583" y="3986316"/>
              <a:ext cx="171450" cy="171450"/>
            </a:xfrm>
            <a:custGeom>
              <a:avLst/>
              <a:gdLst>
                <a:gd name="connsiteX0" fmla="*/ 88124 w 171450"/>
                <a:gd name="connsiteY0" fmla="*/ 169069 h 171450"/>
                <a:gd name="connsiteX1" fmla="*/ 169087 w 171450"/>
                <a:gd name="connsiteY1" fmla="*/ 88106 h 171450"/>
                <a:gd name="connsiteX2" fmla="*/ 88124 w 171450"/>
                <a:gd name="connsiteY2" fmla="*/ 7144 h 171450"/>
                <a:gd name="connsiteX3" fmla="*/ 7162 w 171450"/>
                <a:gd name="connsiteY3" fmla="*/ 88106 h 171450"/>
                <a:gd name="connsiteX4" fmla="*/ 88124 w 171450"/>
                <a:gd name="connsiteY4" fmla="*/ 169069 h 17145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171450" h="171450">
                  <a:moveTo>
                    <a:pt x="88124" y="169069"/>
                  </a:moveTo>
                  <a:cubicBezTo>
                    <a:pt x="132892" y="169069"/>
                    <a:pt x="169087" y="132874"/>
                    <a:pt x="169087" y="88106"/>
                  </a:cubicBezTo>
                  <a:cubicBezTo>
                    <a:pt x="169087" y="43339"/>
                    <a:pt x="132892" y="7144"/>
                    <a:pt x="88124" y="7144"/>
                  </a:cubicBezTo>
                  <a:cubicBezTo>
                    <a:pt x="43357" y="7144"/>
                    <a:pt x="7162" y="43339"/>
                    <a:pt x="7162" y="88106"/>
                  </a:cubicBezTo>
                  <a:cubicBezTo>
                    <a:pt x="6209" y="132874"/>
                    <a:pt x="43357" y="169069"/>
                    <a:pt x="88124" y="169069"/>
                  </a:cubicBezTo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es-ES"/>
            </a:p>
          </xdr:txBody>
        </xdr:sp>
        <xdr:sp macro="" textlink="">
          <xdr:nvSpPr>
            <xdr:cNvPr id="104" name="Forma libre: forma 103">
              <a:extLst>
                <a:ext uri="{FF2B5EF4-FFF2-40B4-BE49-F238E27FC236}">
                  <a16:creationId xmlns:a16="http://schemas.microsoft.com/office/drawing/2014/main" id="{F71F95D7-5F58-48CF-A58D-ED1CBC87499F}"/>
                </a:ext>
              </a:extLst>
            </xdr:cNvPr>
            <xdr:cNvSpPr/>
          </xdr:nvSpPr>
          <xdr:spPr>
            <a:xfrm>
              <a:off x="4063731" y="4035424"/>
              <a:ext cx="514350" cy="304800"/>
            </a:xfrm>
            <a:custGeom>
              <a:avLst/>
              <a:gdLst>
                <a:gd name="connsiteX0" fmla="*/ 502444 w 514350"/>
                <a:gd name="connsiteY0" fmla="*/ 25664 h 304800"/>
                <a:gd name="connsiteX1" fmla="*/ 446246 w 514350"/>
                <a:gd name="connsiteY1" fmla="*/ 13281 h 304800"/>
                <a:gd name="connsiteX2" fmla="*/ 438626 w 514350"/>
                <a:gd name="connsiteY2" fmla="*/ 20901 h 304800"/>
                <a:gd name="connsiteX3" fmla="*/ 299561 w 514350"/>
                <a:gd name="connsiteY3" fmla="*/ 165681 h 304800"/>
                <a:gd name="connsiteX4" fmla="*/ 257651 w 514350"/>
                <a:gd name="connsiteY4" fmla="*/ 148536 h 304800"/>
                <a:gd name="connsiteX5" fmla="*/ 190976 w 514350"/>
                <a:gd name="connsiteY5" fmla="*/ 139964 h 304800"/>
                <a:gd name="connsiteX6" fmla="*/ 124301 w 514350"/>
                <a:gd name="connsiteY6" fmla="*/ 150441 h 304800"/>
                <a:gd name="connsiteX7" fmla="*/ 39529 w 514350"/>
                <a:gd name="connsiteY7" fmla="*/ 195209 h 304800"/>
                <a:gd name="connsiteX8" fmla="*/ 27146 w 514350"/>
                <a:gd name="connsiteY8" fmla="*/ 217116 h 304800"/>
                <a:gd name="connsiteX9" fmla="*/ 7144 w 514350"/>
                <a:gd name="connsiteY9" fmla="*/ 300936 h 304800"/>
                <a:gd name="connsiteX10" fmla="*/ 291941 w 514350"/>
                <a:gd name="connsiteY10" fmla="*/ 300936 h 304800"/>
                <a:gd name="connsiteX11" fmla="*/ 291941 w 514350"/>
                <a:gd name="connsiteY11" fmla="*/ 299984 h 304800"/>
                <a:gd name="connsiteX12" fmla="*/ 372904 w 514350"/>
                <a:gd name="connsiteY12" fmla="*/ 205686 h 304800"/>
                <a:gd name="connsiteX13" fmla="*/ 497681 w 514350"/>
                <a:gd name="connsiteY13" fmla="*/ 74241 h 304800"/>
                <a:gd name="connsiteX14" fmla="*/ 502444 w 514350"/>
                <a:gd name="connsiteY14" fmla="*/ 25664 h 3048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</a:cxnLst>
              <a:rect l="l" t="t" r="r" b="b"/>
              <a:pathLst>
                <a:path w="514350" h="304800">
                  <a:moveTo>
                    <a:pt x="502444" y="25664"/>
                  </a:moveTo>
                  <a:cubicBezTo>
                    <a:pt x="490061" y="6614"/>
                    <a:pt x="465296" y="1851"/>
                    <a:pt x="446246" y="13281"/>
                  </a:cubicBezTo>
                  <a:cubicBezTo>
                    <a:pt x="442436" y="15186"/>
                    <a:pt x="440531" y="18996"/>
                    <a:pt x="438626" y="20901"/>
                  </a:cubicBezTo>
                  <a:lnTo>
                    <a:pt x="299561" y="165681"/>
                  </a:lnTo>
                  <a:cubicBezTo>
                    <a:pt x="286226" y="159014"/>
                    <a:pt x="271939" y="153299"/>
                    <a:pt x="257651" y="148536"/>
                  </a:cubicBezTo>
                  <a:cubicBezTo>
                    <a:pt x="235744" y="144726"/>
                    <a:pt x="212884" y="139964"/>
                    <a:pt x="190976" y="139964"/>
                  </a:cubicBezTo>
                  <a:cubicBezTo>
                    <a:pt x="169069" y="139964"/>
                    <a:pt x="146209" y="143774"/>
                    <a:pt x="124301" y="150441"/>
                  </a:cubicBezTo>
                  <a:cubicBezTo>
                    <a:pt x="91916" y="159014"/>
                    <a:pt x="63341" y="175206"/>
                    <a:pt x="39529" y="195209"/>
                  </a:cubicBezTo>
                  <a:cubicBezTo>
                    <a:pt x="33814" y="200924"/>
                    <a:pt x="29051" y="209496"/>
                    <a:pt x="27146" y="217116"/>
                  </a:cubicBezTo>
                  <a:lnTo>
                    <a:pt x="7144" y="300936"/>
                  </a:lnTo>
                  <a:lnTo>
                    <a:pt x="291941" y="300936"/>
                  </a:lnTo>
                  <a:lnTo>
                    <a:pt x="291941" y="299984"/>
                  </a:lnTo>
                  <a:lnTo>
                    <a:pt x="372904" y="205686"/>
                  </a:lnTo>
                  <a:lnTo>
                    <a:pt x="497681" y="74241"/>
                  </a:lnTo>
                  <a:cubicBezTo>
                    <a:pt x="509111" y="62811"/>
                    <a:pt x="512921" y="40904"/>
                    <a:pt x="502444" y="25664"/>
                  </a:cubicBezTo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es-ES"/>
            </a:p>
          </xdr:txBody>
        </xdr:sp>
      </xdr:grpSp>
    </xdr:grpSp>
    <xdr:clientData/>
  </xdr:twoCellAnchor>
  <xdr:twoCellAnchor editAs="absolute">
    <xdr:from>
      <xdr:col>1</xdr:col>
      <xdr:colOff>1675</xdr:colOff>
      <xdr:row>21</xdr:row>
      <xdr:rowOff>0</xdr:rowOff>
    </xdr:from>
    <xdr:to>
      <xdr:col>16</xdr:col>
      <xdr:colOff>88679</xdr:colOff>
      <xdr:row>23</xdr:row>
      <xdr:rowOff>5521</xdr:rowOff>
    </xdr:to>
    <xdr:grpSp>
      <xdr:nvGrpSpPr>
        <xdr:cNvPr id="112" name="Grupo 111">
          <a:extLst>
            <a:ext uri="{FF2B5EF4-FFF2-40B4-BE49-F238E27FC236}">
              <a16:creationId xmlns:a16="http://schemas.microsoft.com/office/drawing/2014/main" id="{86AF411A-1569-4C3E-851E-622A33407F8C}"/>
            </a:ext>
          </a:extLst>
        </xdr:cNvPr>
        <xdr:cNvGrpSpPr/>
      </xdr:nvGrpSpPr>
      <xdr:grpSpPr>
        <a:xfrm>
          <a:off x="115975" y="3779520"/>
          <a:ext cx="12606664" cy="371281"/>
          <a:chOff x="117336" y="3989457"/>
          <a:chExt cx="12168533" cy="392042"/>
        </a:xfrm>
      </xdr:grpSpPr>
      <xdr:sp macro="" textlink="">
        <xdr:nvSpPr>
          <xdr:cNvPr id="98" name="CuadroTexto 97">
            <a:extLst>
              <a:ext uri="{FF2B5EF4-FFF2-40B4-BE49-F238E27FC236}">
                <a16:creationId xmlns:a16="http://schemas.microsoft.com/office/drawing/2014/main" id="{2BB17CF9-A3FE-469F-BF20-B4C2DD74A6E4}"/>
              </a:ext>
            </a:extLst>
          </xdr:cNvPr>
          <xdr:cNvSpPr txBox="1"/>
        </xdr:nvSpPr>
        <xdr:spPr>
          <a:xfrm>
            <a:off x="117336" y="3989457"/>
            <a:ext cx="12168533" cy="392042"/>
          </a:xfrm>
          <a:prstGeom prst="rect">
            <a:avLst/>
          </a:prstGeom>
          <a:solidFill>
            <a:schemeClr val="bg1">
              <a:lumMod val="85000"/>
            </a:schemeClr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r>
              <a:rPr lang="es-ES" sz="1600" b="1">
                <a:solidFill>
                  <a:srgbClr val="217346"/>
                </a:solidFill>
                <a:latin typeface="+mn-lt"/>
              </a:rPr>
              <a:t>        Ejercicio 1: construir</a:t>
            </a:r>
            <a:r>
              <a:rPr lang="es-ES" sz="1600" b="1" baseline="0">
                <a:solidFill>
                  <a:srgbClr val="217346"/>
                </a:solidFill>
                <a:latin typeface="+mn-lt"/>
              </a:rPr>
              <a:t> una columna de indicadores con la función SI</a:t>
            </a:r>
            <a:endParaRPr lang="es-ES" sz="1600" b="1">
              <a:solidFill>
                <a:srgbClr val="217346"/>
              </a:solidFill>
              <a:latin typeface="+mn-lt"/>
            </a:endParaRPr>
          </a:p>
        </xdr:txBody>
      </xdr:sp>
      <xdr:grpSp>
        <xdr:nvGrpSpPr>
          <xdr:cNvPr id="107" name="Gráfico 105" descr="Lápiz">
            <a:extLst>
              <a:ext uri="{FF2B5EF4-FFF2-40B4-BE49-F238E27FC236}">
                <a16:creationId xmlns:a16="http://schemas.microsoft.com/office/drawing/2014/main" id="{E17A429B-B04F-43EA-99C6-72FBB115280A}"/>
              </a:ext>
            </a:extLst>
          </xdr:cNvPr>
          <xdr:cNvGrpSpPr/>
        </xdr:nvGrpSpPr>
        <xdr:grpSpPr>
          <a:xfrm>
            <a:off x="193261" y="4047988"/>
            <a:ext cx="262282" cy="262282"/>
            <a:chOff x="4030870" y="3023152"/>
            <a:chExt cx="914400" cy="914400"/>
          </a:xfrm>
          <a:solidFill>
            <a:srgbClr val="217346"/>
          </a:solidFill>
        </xdr:grpSpPr>
        <xdr:sp macro="" textlink="">
          <xdr:nvSpPr>
            <xdr:cNvPr id="108" name="Forma libre: forma 107">
              <a:extLst>
                <a:ext uri="{FF2B5EF4-FFF2-40B4-BE49-F238E27FC236}">
                  <a16:creationId xmlns:a16="http://schemas.microsoft.com/office/drawing/2014/main" id="{B20F6F07-0924-4DA7-9B86-3774FE1A9720}"/>
                </a:ext>
              </a:extLst>
            </xdr:cNvPr>
            <xdr:cNvSpPr/>
          </xdr:nvSpPr>
          <xdr:spPr>
            <a:xfrm>
              <a:off x="4099926" y="3196031"/>
              <a:ext cx="666750" cy="666750"/>
            </a:xfrm>
            <a:custGeom>
              <a:avLst/>
              <a:gdLst>
                <a:gd name="connsiteX0" fmla="*/ 169069 w 666750"/>
                <a:gd name="connsiteY0" fmla="*/ 504349 h 666750"/>
                <a:gd name="connsiteX1" fmla="*/ 169069 w 666750"/>
                <a:gd name="connsiteY1" fmla="*/ 571976 h 666750"/>
                <a:gd name="connsiteX2" fmla="*/ 88106 w 666750"/>
                <a:gd name="connsiteY2" fmla="*/ 598646 h 666750"/>
                <a:gd name="connsiteX3" fmla="*/ 73819 w 666750"/>
                <a:gd name="connsiteY3" fmla="*/ 584359 h 666750"/>
                <a:gd name="connsiteX4" fmla="*/ 100489 w 666750"/>
                <a:gd name="connsiteY4" fmla="*/ 503396 h 666750"/>
                <a:gd name="connsiteX5" fmla="*/ 169069 w 666750"/>
                <a:gd name="connsiteY5" fmla="*/ 504349 h 666750"/>
                <a:gd name="connsiteX6" fmla="*/ 543401 w 666750"/>
                <a:gd name="connsiteY6" fmla="*/ 7144 h 666750"/>
                <a:gd name="connsiteX7" fmla="*/ 67151 w 666750"/>
                <a:gd name="connsiteY7" fmla="*/ 484346 h 666750"/>
                <a:gd name="connsiteX8" fmla="*/ 7144 w 666750"/>
                <a:gd name="connsiteY8" fmla="*/ 665321 h 666750"/>
                <a:gd name="connsiteX9" fmla="*/ 189071 w 666750"/>
                <a:gd name="connsiteY9" fmla="*/ 605314 h 666750"/>
                <a:gd name="connsiteX10" fmla="*/ 665321 w 666750"/>
                <a:gd name="connsiteY10" fmla="*/ 129064 h 66675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</a:cxnLst>
              <a:rect l="l" t="t" r="r" b="b"/>
              <a:pathLst>
                <a:path w="666750" h="666750">
                  <a:moveTo>
                    <a:pt x="169069" y="504349"/>
                  </a:moveTo>
                  <a:cubicBezTo>
                    <a:pt x="188119" y="523399"/>
                    <a:pt x="188119" y="552926"/>
                    <a:pt x="169069" y="571976"/>
                  </a:cubicBezTo>
                  <a:lnTo>
                    <a:pt x="88106" y="598646"/>
                  </a:lnTo>
                  <a:lnTo>
                    <a:pt x="73819" y="584359"/>
                  </a:lnTo>
                  <a:lnTo>
                    <a:pt x="100489" y="503396"/>
                  </a:lnTo>
                  <a:cubicBezTo>
                    <a:pt x="120491" y="485299"/>
                    <a:pt x="150019" y="485299"/>
                    <a:pt x="169069" y="504349"/>
                  </a:cubicBezTo>
                  <a:close/>
                  <a:moveTo>
                    <a:pt x="543401" y="7144"/>
                  </a:moveTo>
                  <a:lnTo>
                    <a:pt x="67151" y="484346"/>
                  </a:lnTo>
                  <a:lnTo>
                    <a:pt x="7144" y="665321"/>
                  </a:lnTo>
                  <a:lnTo>
                    <a:pt x="189071" y="605314"/>
                  </a:lnTo>
                  <a:lnTo>
                    <a:pt x="665321" y="129064"/>
                  </a:lnTo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es-ES"/>
            </a:p>
          </xdr:txBody>
        </xdr:sp>
        <xdr:sp macro="" textlink="">
          <xdr:nvSpPr>
            <xdr:cNvPr id="109" name="Forma libre: forma 108">
              <a:extLst>
                <a:ext uri="{FF2B5EF4-FFF2-40B4-BE49-F238E27FC236}">
                  <a16:creationId xmlns:a16="http://schemas.microsoft.com/office/drawing/2014/main" id="{C954EBF1-750F-4E4C-B123-24EC679FF3A6}"/>
                </a:ext>
              </a:extLst>
            </xdr:cNvPr>
            <xdr:cNvSpPr/>
          </xdr:nvSpPr>
          <xdr:spPr>
            <a:xfrm>
              <a:off x="4662854" y="3091256"/>
              <a:ext cx="209550" cy="209550"/>
            </a:xfrm>
            <a:custGeom>
              <a:avLst/>
              <a:gdLst>
                <a:gd name="connsiteX0" fmla="*/ 195739 w 209550"/>
                <a:gd name="connsiteY0" fmla="*/ 86201 h 209550"/>
                <a:gd name="connsiteX1" fmla="*/ 128111 w 209550"/>
                <a:gd name="connsiteY1" fmla="*/ 18574 h 209550"/>
                <a:gd name="connsiteX2" fmla="*/ 73819 w 209550"/>
                <a:gd name="connsiteY2" fmla="*/ 18574 h 209550"/>
                <a:gd name="connsiteX3" fmla="*/ 7144 w 209550"/>
                <a:gd name="connsiteY3" fmla="*/ 85249 h 209550"/>
                <a:gd name="connsiteX4" fmla="*/ 128111 w 209550"/>
                <a:gd name="connsiteY4" fmla="*/ 206216 h 209550"/>
                <a:gd name="connsiteX5" fmla="*/ 194786 w 209550"/>
                <a:gd name="connsiteY5" fmla="*/ 139541 h 209550"/>
                <a:gd name="connsiteX6" fmla="*/ 195739 w 209550"/>
                <a:gd name="connsiteY6" fmla="*/ 86201 h 20955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</a:cxnLst>
              <a:rect l="l" t="t" r="r" b="b"/>
              <a:pathLst>
                <a:path w="209550" h="209550">
                  <a:moveTo>
                    <a:pt x="195739" y="86201"/>
                  </a:moveTo>
                  <a:lnTo>
                    <a:pt x="128111" y="18574"/>
                  </a:lnTo>
                  <a:cubicBezTo>
                    <a:pt x="112871" y="3334"/>
                    <a:pt x="89059" y="3334"/>
                    <a:pt x="73819" y="18574"/>
                  </a:cubicBezTo>
                  <a:lnTo>
                    <a:pt x="7144" y="85249"/>
                  </a:lnTo>
                  <a:lnTo>
                    <a:pt x="128111" y="206216"/>
                  </a:lnTo>
                  <a:lnTo>
                    <a:pt x="194786" y="139541"/>
                  </a:lnTo>
                  <a:cubicBezTo>
                    <a:pt x="210979" y="125254"/>
                    <a:pt x="210979" y="101441"/>
                    <a:pt x="195739" y="86201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es-ES"/>
            </a:p>
          </xdr:txBody>
        </xdr:sp>
      </xdr:grpSp>
    </xdr:grpSp>
    <xdr:clientData/>
  </xdr:twoCellAnchor>
  <xdr:twoCellAnchor editAs="absolute">
    <xdr:from>
      <xdr:col>1</xdr:col>
      <xdr:colOff>0</xdr:colOff>
      <xdr:row>41</xdr:row>
      <xdr:rowOff>69022</xdr:rowOff>
    </xdr:from>
    <xdr:to>
      <xdr:col>16</xdr:col>
      <xdr:colOff>121920</xdr:colOff>
      <xdr:row>43</xdr:row>
      <xdr:rowOff>74542</xdr:rowOff>
    </xdr:to>
    <xdr:grpSp>
      <xdr:nvGrpSpPr>
        <xdr:cNvPr id="113" name="Grupo 112">
          <a:extLst>
            <a:ext uri="{FF2B5EF4-FFF2-40B4-BE49-F238E27FC236}">
              <a16:creationId xmlns:a16="http://schemas.microsoft.com/office/drawing/2014/main" id="{324D6BC3-1FDD-47E1-A705-2D6EF0CB9DFD}"/>
            </a:ext>
          </a:extLst>
        </xdr:cNvPr>
        <xdr:cNvGrpSpPr/>
      </xdr:nvGrpSpPr>
      <xdr:grpSpPr>
        <a:xfrm>
          <a:off x="114300" y="7513762"/>
          <a:ext cx="12641580" cy="371280"/>
          <a:chOff x="117336" y="3989457"/>
          <a:chExt cx="12168533" cy="392042"/>
        </a:xfrm>
      </xdr:grpSpPr>
      <xdr:sp macro="" textlink="">
        <xdr:nvSpPr>
          <xdr:cNvPr id="114" name="CuadroTexto 113">
            <a:extLst>
              <a:ext uri="{FF2B5EF4-FFF2-40B4-BE49-F238E27FC236}">
                <a16:creationId xmlns:a16="http://schemas.microsoft.com/office/drawing/2014/main" id="{CD4121B3-AC1A-4147-83B4-1923A0859670}"/>
              </a:ext>
            </a:extLst>
          </xdr:cNvPr>
          <xdr:cNvSpPr txBox="1"/>
        </xdr:nvSpPr>
        <xdr:spPr>
          <a:xfrm>
            <a:off x="117336" y="3989457"/>
            <a:ext cx="12168533" cy="392042"/>
          </a:xfrm>
          <a:prstGeom prst="rect">
            <a:avLst/>
          </a:prstGeom>
          <a:solidFill>
            <a:schemeClr val="bg1">
              <a:lumMod val="85000"/>
            </a:schemeClr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r>
              <a:rPr lang="es-ES" sz="1600" b="1">
                <a:solidFill>
                  <a:srgbClr val="217346"/>
                </a:solidFill>
                <a:latin typeface="+mn-lt"/>
              </a:rPr>
              <a:t>        Ejercicio 2: construir una columna de indicadores con textos</a:t>
            </a:r>
          </a:p>
        </xdr:txBody>
      </xdr:sp>
      <xdr:grpSp>
        <xdr:nvGrpSpPr>
          <xdr:cNvPr id="115" name="Gráfico 105" descr="Lápiz">
            <a:extLst>
              <a:ext uri="{FF2B5EF4-FFF2-40B4-BE49-F238E27FC236}">
                <a16:creationId xmlns:a16="http://schemas.microsoft.com/office/drawing/2014/main" id="{C00502D9-87F5-4C46-ABD9-9343C9C333C1}"/>
              </a:ext>
            </a:extLst>
          </xdr:cNvPr>
          <xdr:cNvGrpSpPr/>
        </xdr:nvGrpSpPr>
        <xdr:grpSpPr>
          <a:xfrm>
            <a:off x="193261" y="4047988"/>
            <a:ext cx="262282" cy="262282"/>
            <a:chOff x="4030870" y="3023152"/>
            <a:chExt cx="914400" cy="914400"/>
          </a:xfrm>
          <a:solidFill>
            <a:srgbClr val="217346"/>
          </a:solidFill>
        </xdr:grpSpPr>
        <xdr:sp macro="" textlink="">
          <xdr:nvSpPr>
            <xdr:cNvPr id="116" name="Forma libre: forma 115">
              <a:extLst>
                <a:ext uri="{FF2B5EF4-FFF2-40B4-BE49-F238E27FC236}">
                  <a16:creationId xmlns:a16="http://schemas.microsoft.com/office/drawing/2014/main" id="{A377E28E-45BF-45CC-A1D4-54D1D8422079}"/>
                </a:ext>
              </a:extLst>
            </xdr:cNvPr>
            <xdr:cNvSpPr/>
          </xdr:nvSpPr>
          <xdr:spPr>
            <a:xfrm>
              <a:off x="4099926" y="3196031"/>
              <a:ext cx="666750" cy="666750"/>
            </a:xfrm>
            <a:custGeom>
              <a:avLst/>
              <a:gdLst>
                <a:gd name="connsiteX0" fmla="*/ 169069 w 666750"/>
                <a:gd name="connsiteY0" fmla="*/ 504349 h 666750"/>
                <a:gd name="connsiteX1" fmla="*/ 169069 w 666750"/>
                <a:gd name="connsiteY1" fmla="*/ 571976 h 666750"/>
                <a:gd name="connsiteX2" fmla="*/ 88106 w 666750"/>
                <a:gd name="connsiteY2" fmla="*/ 598646 h 666750"/>
                <a:gd name="connsiteX3" fmla="*/ 73819 w 666750"/>
                <a:gd name="connsiteY3" fmla="*/ 584359 h 666750"/>
                <a:gd name="connsiteX4" fmla="*/ 100489 w 666750"/>
                <a:gd name="connsiteY4" fmla="*/ 503396 h 666750"/>
                <a:gd name="connsiteX5" fmla="*/ 169069 w 666750"/>
                <a:gd name="connsiteY5" fmla="*/ 504349 h 666750"/>
                <a:gd name="connsiteX6" fmla="*/ 543401 w 666750"/>
                <a:gd name="connsiteY6" fmla="*/ 7144 h 666750"/>
                <a:gd name="connsiteX7" fmla="*/ 67151 w 666750"/>
                <a:gd name="connsiteY7" fmla="*/ 484346 h 666750"/>
                <a:gd name="connsiteX8" fmla="*/ 7144 w 666750"/>
                <a:gd name="connsiteY8" fmla="*/ 665321 h 666750"/>
                <a:gd name="connsiteX9" fmla="*/ 189071 w 666750"/>
                <a:gd name="connsiteY9" fmla="*/ 605314 h 666750"/>
                <a:gd name="connsiteX10" fmla="*/ 665321 w 666750"/>
                <a:gd name="connsiteY10" fmla="*/ 129064 h 66675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</a:cxnLst>
              <a:rect l="l" t="t" r="r" b="b"/>
              <a:pathLst>
                <a:path w="666750" h="666750">
                  <a:moveTo>
                    <a:pt x="169069" y="504349"/>
                  </a:moveTo>
                  <a:cubicBezTo>
                    <a:pt x="188119" y="523399"/>
                    <a:pt x="188119" y="552926"/>
                    <a:pt x="169069" y="571976"/>
                  </a:cubicBezTo>
                  <a:lnTo>
                    <a:pt x="88106" y="598646"/>
                  </a:lnTo>
                  <a:lnTo>
                    <a:pt x="73819" y="584359"/>
                  </a:lnTo>
                  <a:lnTo>
                    <a:pt x="100489" y="503396"/>
                  </a:lnTo>
                  <a:cubicBezTo>
                    <a:pt x="120491" y="485299"/>
                    <a:pt x="150019" y="485299"/>
                    <a:pt x="169069" y="504349"/>
                  </a:cubicBezTo>
                  <a:close/>
                  <a:moveTo>
                    <a:pt x="543401" y="7144"/>
                  </a:moveTo>
                  <a:lnTo>
                    <a:pt x="67151" y="484346"/>
                  </a:lnTo>
                  <a:lnTo>
                    <a:pt x="7144" y="665321"/>
                  </a:lnTo>
                  <a:lnTo>
                    <a:pt x="189071" y="605314"/>
                  </a:lnTo>
                  <a:lnTo>
                    <a:pt x="665321" y="129064"/>
                  </a:lnTo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es-ES"/>
            </a:p>
          </xdr:txBody>
        </xdr:sp>
        <xdr:sp macro="" textlink="">
          <xdr:nvSpPr>
            <xdr:cNvPr id="117" name="Forma libre: forma 116">
              <a:extLst>
                <a:ext uri="{FF2B5EF4-FFF2-40B4-BE49-F238E27FC236}">
                  <a16:creationId xmlns:a16="http://schemas.microsoft.com/office/drawing/2014/main" id="{F06DC62F-F297-431F-9FA0-EFFA95208320}"/>
                </a:ext>
              </a:extLst>
            </xdr:cNvPr>
            <xdr:cNvSpPr/>
          </xdr:nvSpPr>
          <xdr:spPr>
            <a:xfrm>
              <a:off x="4662854" y="3091256"/>
              <a:ext cx="209550" cy="209550"/>
            </a:xfrm>
            <a:custGeom>
              <a:avLst/>
              <a:gdLst>
                <a:gd name="connsiteX0" fmla="*/ 195739 w 209550"/>
                <a:gd name="connsiteY0" fmla="*/ 86201 h 209550"/>
                <a:gd name="connsiteX1" fmla="*/ 128111 w 209550"/>
                <a:gd name="connsiteY1" fmla="*/ 18574 h 209550"/>
                <a:gd name="connsiteX2" fmla="*/ 73819 w 209550"/>
                <a:gd name="connsiteY2" fmla="*/ 18574 h 209550"/>
                <a:gd name="connsiteX3" fmla="*/ 7144 w 209550"/>
                <a:gd name="connsiteY3" fmla="*/ 85249 h 209550"/>
                <a:gd name="connsiteX4" fmla="*/ 128111 w 209550"/>
                <a:gd name="connsiteY4" fmla="*/ 206216 h 209550"/>
                <a:gd name="connsiteX5" fmla="*/ 194786 w 209550"/>
                <a:gd name="connsiteY5" fmla="*/ 139541 h 209550"/>
                <a:gd name="connsiteX6" fmla="*/ 195739 w 209550"/>
                <a:gd name="connsiteY6" fmla="*/ 86201 h 20955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</a:cxnLst>
              <a:rect l="l" t="t" r="r" b="b"/>
              <a:pathLst>
                <a:path w="209550" h="209550">
                  <a:moveTo>
                    <a:pt x="195739" y="86201"/>
                  </a:moveTo>
                  <a:lnTo>
                    <a:pt x="128111" y="18574"/>
                  </a:lnTo>
                  <a:cubicBezTo>
                    <a:pt x="112871" y="3334"/>
                    <a:pt x="89059" y="3334"/>
                    <a:pt x="73819" y="18574"/>
                  </a:cubicBezTo>
                  <a:lnTo>
                    <a:pt x="7144" y="85249"/>
                  </a:lnTo>
                  <a:lnTo>
                    <a:pt x="128111" y="206216"/>
                  </a:lnTo>
                  <a:lnTo>
                    <a:pt x="194786" y="139541"/>
                  </a:lnTo>
                  <a:cubicBezTo>
                    <a:pt x="210979" y="125254"/>
                    <a:pt x="210979" y="101441"/>
                    <a:pt x="195739" y="86201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es-ES"/>
            </a:p>
          </xdr:txBody>
        </xdr:sp>
      </xdr:grpSp>
    </xdr:grpSp>
    <xdr:clientData/>
  </xdr:twoCellAnchor>
  <xdr:twoCellAnchor editAs="absolute">
    <xdr:from>
      <xdr:col>1</xdr:col>
      <xdr:colOff>0</xdr:colOff>
      <xdr:row>44</xdr:row>
      <xdr:rowOff>69023</xdr:rowOff>
    </xdr:from>
    <xdr:to>
      <xdr:col>7</xdr:col>
      <xdr:colOff>634999</xdr:colOff>
      <xdr:row>48</xdr:row>
      <xdr:rowOff>144946</xdr:rowOff>
    </xdr:to>
    <xdr:sp macro="" textlink="">
      <xdr:nvSpPr>
        <xdr:cNvPr id="122" name="CuadroTexto 121">
          <a:extLst>
            <a:ext uri="{FF2B5EF4-FFF2-40B4-BE49-F238E27FC236}">
              <a16:creationId xmlns:a16="http://schemas.microsoft.com/office/drawing/2014/main" id="{9AAA01B0-E636-439E-A1E1-98E404BA16F4}"/>
            </a:ext>
          </a:extLst>
        </xdr:cNvPr>
        <xdr:cNvSpPr txBox="1"/>
      </xdr:nvSpPr>
      <xdr:spPr>
        <a:xfrm>
          <a:off x="117337" y="8503480"/>
          <a:ext cx="4548532" cy="8489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l"/>
          <a:r>
            <a:rPr lang="es-ES" sz="2000">
              <a:solidFill>
                <a:srgbClr val="217346"/>
              </a:solidFill>
            </a:rPr>
            <a:t>❶</a:t>
          </a:r>
          <a:r>
            <a:rPr lang="es-ES" sz="1100"/>
            <a:t> Introducir una función </a:t>
          </a:r>
          <a:r>
            <a:rPr lang="es-ES" sz="1100" b="1">
              <a:solidFill>
                <a:srgbClr val="217346"/>
              </a:solidFill>
            </a:rPr>
            <a:t>SI</a:t>
          </a:r>
          <a:r>
            <a:rPr lang="es-ES" sz="1100"/>
            <a:t> que devuelva el texto </a:t>
          </a:r>
          <a:r>
            <a:rPr lang="es-ES" sz="1100" b="1">
              <a:solidFill>
                <a:srgbClr val="217346"/>
              </a:solidFill>
            </a:rPr>
            <a:t>OK</a:t>
          </a:r>
          <a:r>
            <a:rPr lang="es-ES" sz="1100" baseline="0"/>
            <a:t> si las ventas reales son mayores o iguales que el presupuesto. En caso contrario, que devuelva el texto </a:t>
          </a:r>
          <a:r>
            <a:rPr lang="es-ES" sz="1100" b="1" baseline="0">
              <a:solidFill>
                <a:srgbClr val="217346"/>
              </a:solidFill>
            </a:rPr>
            <a:t>NO OK</a:t>
          </a:r>
          <a:r>
            <a:rPr lang="es-ES" sz="1100" baseline="0"/>
            <a:t>.</a:t>
          </a:r>
          <a:endParaRPr lang="es-ES" sz="1100"/>
        </a:p>
      </xdr:txBody>
    </xdr:sp>
    <xdr:clientData/>
  </xdr:twoCellAnchor>
  <xdr:twoCellAnchor editAs="absolute">
    <xdr:from>
      <xdr:col>1</xdr:col>
      <xdr:colOff>0</xdr:colOff>
      <xdr:row>48</xdr:row>
      <xdr:rowOff>69022</xdr:rowOff>
    </xdr:from>
    <xdr:to>
      <xdr:col>7</xdr:col>
      <xdr:colOff>634999</xdr:colOff>
      <xdr:row>51</xdr:row>
      <xdr:rowOff>69022</xdr:rowOff>
    </xdr:to>
    <xdr:sp macro="" textlink="">
      <xdr:nvSpPr>
        <xdr:cNvPr id="123" name="CuadroTexto 122">
          <a:extLst>
            <a:ext uri="{FF2B5EF4-FFF2-40B4-BE49-F238E27FC236}">
              <a16:creationId xmlns:a16="http://schemas.microsoft.com/office/drawing/2014/main" id="{CED3B884-0B10-4EF8-94A5-A174ACFA07CE}"/>
            </a:ext>
          </a:extLst>
        </xdr:cNvPr>
        <xdr:cNvSpPr txBox="1"/>
      </xdr:nvSpPr>
      <xdr:spPr>
        <a:xfrm>
          <a:off x="117337" y="9276522"/>
          <a:ext cx="4548532" cy="57978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l"/>
          <a:r>
            <a:rPr lang="es-ES" sz="2000">
              <a:solidFill>
                <a:srgbClr val="217346"/>
              </a:solidFill>
            </a:rPr>
            <a:t>❷</a:t>
          </a:r>
          <a:r>
            <a:rPr lang="es-ES" sz="1100"/>
            <a:t> Rellenar la fórmula</a:t>
          </a:r>
          <a:r>
            <a:rPr lang="es-ES" sz="1100" baseline="0"/>
            <a:t> tirando del controlador de relleno</a:t>
          </a:r>
          <a:endParaRPr lang="es-ES" sz="1100"/>
        </a:p>
      </xdr:txBody>
    </xdr:sp>
    <xdr:clientData/>
  </xdr:twoCellAnchor>
  <xdr:twoCellAnchor editAs="absolute">
    <xdr:from>
      <xdr:col>10</xdr:col>
      <xdr:colOff>181388</xdr:colOff>
      <xdr:row>15</xdr:row>
      <xdr:rowOff>129540</xdr:rowOff>
    </xdr:from>
    <xdr:to>
      <xdr:col>14</xdr:col>
      <xdr:colOff>601980</xdr:colOff>
      <xdr:row>20</xdr:row>
      <xdr:rowOff>177165</xdr:rowOff>
    </xdr:to>
    <xdr:sp macro="" textlink="">
      <xdr:nvSpPr>
        <xdr:cNvPr id="51" name="Bocadillo: rectángulo con esquinas redondeadas 50">
          <a:extLst>
            <a:ext uri="{FF2B5EF4-FFF2-40B4-BE49-F238E27FC236}">
              <a16:creationId xmlns:a16="http://schemas.microsoft.com/office/drawing/2014/main" id="{3C85C3F0-4332-4ADA-AE98-A8552A0A1F23}"/>
            </a:ext>
          </a:extLst>
        </xdr:cNvPr>
        <xdr:cNvSpPr/>
      </xdr:nvSpPr>
      <xdr:spPr>
        <a:xfrm>
          <a:off x="7389908" y="2811780"/>
          <a:ext cx="4261072" cy="962025"/>
        </a:xfrm>
        <a:prstGeom prst="wedgeRoundRectCallout">
          <a:avLst>
            <a:gd name="adj1" fmla="val -21059"/>
            <a:gd name="adj2" fmla="val -61724"/>
            <a:gd name="adj3" fmla="val 16667"/>
          </a:avLst>
        </a:prstGeom>
        <a:solidFill>
          <a:srgbClr val="CFF1DE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" sz="1000" b="1" u="sng" baseline="0">
              <a:solidFill>
                <a:srgbClr val="00B050"/>
              </a:solidFill>
              <a:latin typeface="+mn-lt"/>
            </a:rPr>
            <a:t>TRUCO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" sz="1000" b="0" i="0" u="none" strike="noStrike" kern="0" cap="none" spc="0" normalizeH="0" baseline="0" noProof="0">
              <a:ln>
                <a:noFill/>
              </a:ln>
              <a:solidFill>
                <a:srgbClr val="00B050"/>
              </a:solidFill>
              <a:effectLst/>
              <a:uLnTx/>
              <a:uFillTx/>
              <a:latin typeface="+mn-lt"/>
              <a:ea typeface="+mn-ea"/>
              <a:cs typeface="+mn-cs"/>
            </a:rPr>
            <a:t>Podemos rellenar automáticamente hasta la última celda si hacemos doble clic en el controlador de relleno. Esto funciona siempre que tengamos a la izquierda una columna de referencia con datos.</a:t>
          </a:r>
        </a:p>
      </xdr:txBody>
    </xdr:sp>
    <xdr:clientData/>
  </xdr:twoCellAnchor>
  <xdr:twoCellAnchor editAs="absolute">
    <xdr:from>
      <xdr:col>1</xdr:col>
      <xdr:colOff>75922</xdr:colOff>
      <xdr:row>32</xdr:row>
      <xdr:rowOff>20707</xdr:rowOff>
    </xdr:from>
    <xdr:to>
      <xdr:col>7</xdr:col>
      <xdr:colOff>819149</xdr:colOff>
      <xdr:row>38</xdr:row>
      <xdr:rowOff>142875</xdr:rowOff>
    </xdr:to>
    <xdr:sp macro="" textlink="">
      <xdr:nvSpPr>
        <xdr:cNvPr id="52" name="Bocadillo: rectángulo con esquinas redondeadas 51">
          <a:extLst>
            <a:ext uri="{FF2B5EF4-FFF2-40B4-BE49-F238E27FC236}">
              <a16:creationId xmlns:a16="http://schemas.microsoft.com/office/drawing/2014/main" id="{05DBB96F-B9E5-4219-82E9-FF788E45983F}"/>
            </a:ext>
          </a:extLst>
        </xdr:cNvPr>
        <xdr:cNvSpPr/>
      </xdr:nvSpPr>
      <xdr:spPr>
        <a:xfrm>
          <a:off x="190222" y="6050032"/>
          <a:ext cx="4667527" cy="1265168"/>
        </a:xfrm>
        <a:prstGeom prst="wedgeRoundRectCallout">
          <a:avLst>
            <a:gd name="adj1" fmla="val 54842"/>
            <a:gd name="adj2" fmla="val -33480"/>
            <a:gd name="adj3" fmla="val 16667"/>
          </a:avLst>
        </a:prstGeom>
        <a:solidFill>
          <a:schemeClr val="accent1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" sz="1000" b="1" u="sng">
              <a:solidFill>
                <a:schemeClr val="accent1"/>
              </a:solidFill>
              <a:latin typeface="+mn-lt"/>
            </a:rPr>
            <a:t>¡ATENCIÓN!</a:t>
          </a:r>
          <a:endParaRPr lang="es-ES" sz="1000" b="1" u="sng" baseline="0">
            <a:solidFill>
              <a:schemeClr val="accent1"/>
            </a:solidFill>
            <a:latin typeface="+mn-lt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" sz="1000" b="0" i="0" u="none" strike="noStrike" kern="0" cap="none" spc="0" normalizeH="0" baseline="0" noProof="0">
              <a:ln>
                <a:noFill/>
              </a:ln>
              <a:solidFill>
                <a:schemeClr val="accent1"/>
              </a:solidFill>
              <a:effectLst/>
              <a:uLnTx/>
              <a:uFillTx/>
              <a:latin typeface="+mn-lt"/>
              <a:ea typeface="+mn-ea"/>
              <a:cs typeface="+mn-cs"/>
            </a:rPr>
            <a:t>Cuando escribimos una fórmula, debemos tener en cuenta si todas las referencias deben ser relativas (</a:t>
          </a:r>
          <a:r>
            <a:rPr kumimoji="0" lang="es-ES" sz="1000" b="0" i="1" u="none" strike="noStrike" kern="0" cap="none" spc="0" normalizeH="0" baseline="0" noProof="0">
              <a:ln>
                <a:noFill/>
              </a:ln>
              <a:solidFill>
                <a:schemeClr val="accent1"/>
              </a:solidFill>
              <a:effectLst/>
              <a:uLnTx/>
              <a:uFillTx/>
              <a:latin typeface="+mn-lt"/>
              <a:ea typeface="+mn-ea"/>
              <a:cs typeface="+mn-cs"/>
            </a:rPr>
            <a:t>sin signos $</a:t>
          </a:r>
          <a:r>
            <a:rPr kumimoji="0" lang="es-ES" sz="1000" b="0" i="0" u="none" strike="noStrike" kern="0" cap="none" spc="0" normalizeH="0" baseline="0" noProof="0">
              <a:ln>
                <a:noFill/>
              </a:ln>
              <a:solidFill>
                <a:schemeClr val="accent1"/>
              </a:solidFill>
              <a:effectLst/>
              <a:uLnTx/>
              <a:uFillTx/>
              <a:latin typeface="+mn-lt"/>
              <a:ea typeface="+mn-ea"/>
              <a:cs typeface="+mn-cs"/>
            </a:rPr>
            <a:t>) o absolutas (</a:t>
          </a:r>
          <a:r>
            <a:rPr kumimoji="0" lang="es-ES" sz="1000" b="0" i="1" u="none" strike="noStrike" kern="0" cap="none" spc="0" normalizeH="0" baseline="0" noProof="0">
              <a:ln>
                <a:noFill/>
              </a:ln>
              <a:solidFill>
                <a:schemeClr val="accent1"/>
              </a:solidFill>
              <a:effectLst/>
              <a:uLnTx/>
              <a:uFillTx/>
              <a:latin typeface="+mn-lt"/>
              <a:ea typeface="+mn-ea"/>
              <a:cs typeface="+mn-cs"/>
            </a:rPr>
            <a:t>sin signos $</a:t>
          </a:r>
          <a:r>
            <a:rPr kumimoji="0" lang="es-ES" sz="1000" b="0" i="0" u="none" strike="noStrike" kern="0" cap="none" spc="0" normalizeH="0" baseline="0" noProof="0">
              <a:ln>
                <a:noFill/>
              </a:ln>
              <a:solidFill>
                <a:schemeClr val="accent1"/>
              </a:solidFill>
              <a:effectLst/>
              <a:uLnTx/>
              <a:uFillTx/>
              <a:latin typeface="+mn-lt"/>
              <a:ea typeface="+mn-ea"/>
              <a:cs typeface="+mn-cs"/>
            </a:rPr>
            <a:t>).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" sz="1000" b="0" i="0" u="none" strike="noStrike" kern="0" cap="none" spc="0" normalizeH="0" baseline="0" noProof="0">
              <a:ln>
                <a:noFill/>
              </a:ln>
              <a:solidFill>
                <a:schemeClr val="accent1"/>
              </a:solidFill>
              <a:effectLst/>
              <a:uLnTx/>
              <a:uFillTx/>
              <a:latin typeface="+mn-lt"/>
              <a:ea typeface="+mn-ea"/>
              <a:cs typeface="+mn-cs"/>
            </a:rPr>
            <a:t>Si es necesario incluir signos $, sitúate dentro de la barra de fórmulas, sobre la referencia de celda que lo necesita, y así puedes agregar signos dolar ($) con facilidad presionando repetidamente F4 (en algunos teclados es Fn + F4).</a:t>
          </a:r>
        </a:p>
      </xdr:txBody>
    </xdr:sp>
    <xdr:clientData/>
  </xdr:twoCellAnchor>
  <xdr:twoCellAnchor editAs="absolute">
    <xdr:from>
      <xdr:col>1</xdr:col>
      <xdr:colOff>82826</xdr:colOff>
      <xdr:row>28</xdr:row>
      <xdr:rowOff>13802</xdr:rowOff>
    </xdr:from>
    <xdr:to>
      <xdr:col>7</xdr:col>
      <xdr:colOff>800100</xdr:colOff>
      <xdr:row>31</xdr:row>
      <xdr:rowOff>140705</xdr:rowOff>
    </xdr:to>
    <xdr:sp macro="" textlink="">
      <xdr:nvSpPr>
        <xdr:cNvPr id="54" name="Bocadillo: rectángulo con esquinas redondeadas 53">
          <a:extLst>
            <a:ext uri="{FF2B5EF4-FFF2-40B4-BE49-F238E27FC236}">
              <a16:creationId xmlns:a16="http://schemas.microsoft.com/office/drawing/2014/main" id="{1EC7375E-84EA-432F-9FD8-5815F48C1662}"/>
            </a:ext>
          </a:extLst>
        </xdr:cNvPr>
        <xdr:cNvSpPr/>
      </xdr:nvSpPr>
      <xdr:spPr>
        <a:xfrm>
          <a:off x="197126" y="5281127"/>
          <a:ext cx="4641574" cy="698403"/>
        </a:xfrm>
        <a:prstGeom prst="wedgeRoundRectCallout">
          <a:avLst>
            <a:gd name="adj1" fmla="val 19886"/>
            <a:gd name="adj2" fmla="val -65362"/>
            <a:gd name="adj3" fmla="val 16667"/>
          </a:avLst>
        </a:prstGeom>
        <a:solidFill>
          <a:schemeClr val="accent1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000" b="1" u="sng">
              <a:solidFill>
                <a:schemeClr val="accent1"/>
              </a:solidFill>
              <a:latin typeface="+mn-lt"/>
            </a:rPr>
            <a:t>¡ATENCIÓN!</a:t>
          </a:r>
          <a:endParaRPr lang="es-ES" sz="1000" b="1" u="sng" baseline="0">
            <a:solidFill>
              <a:schemeClr val="accent1"/>
            </a:solidFill>
            <a:latin typeface="+mn-lt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" sz="1000" b="0" i="0" u="none" strike="noStrike" kern="0" cap="none" spc="0" normalizeH="0" baseline="0" noProof="0">
              <a:ln>
                <a:noFill/>
              </a:ln>
              <a:solidFill>
                <a:schemeClr val="accent1"/>
              </a:solidFill>
              <a:effectLst/>
              <a:uLnTx/>
              <a:uFillTx/>
              <a:latin typeface="+mn-lt"/>
              <a:ea typeface="+mn-ea"/>
              <a:cs typeface="+mn-cs"/>
            </a:rPr>
            <a:t>Utilizar ceros y unos como valores devueltos nos ayudará a utilizar la herramienta formato condicional para que aprezcan iconos de semáforos.</a:t>
          </a:r>
        </a:p>
      </xdr:txBody>
    </xdr:sp>
    <xdr:clientData/>
  </xdr:twoCellAnchor>
  <xdr:twoCellAnchor>
    <xdr:from>
      <xdr:col>10</xdr:col>
      <xdr:colOff>45720</xdr:colOff>
      <xdr:row>28</xdr:row>
      <xdr:rowOff>53340</xdr:rowOff>
    </xdr:from>
    <xdr:to>
      <xdr:col>10</xdr:col>
      <xdr:colOff>1325880</xdr:colOff>
      <xdr:row>30</xdr:row>
      <xdr:rowOff>129540</xdr:rowOff>
    </xdr:to>
    <xdr:cxnSp macro="">
      <xdr:nvCxnSpPr>
        <xdr:cNvPr id="5" name="Conector recto de flecha 4">
          <a:extLst>
            <a:ext uri="{FF2B5EF4-FFF2-40B4-BE49-F238E27FC236}">
              <a16:creationId xmlns:a16="http://schemas.microsoft.com/office/drawing/2014/main" id="{639C4508-EE3A-3A04-45E5-F170BCB870E9}"/>
            </a:ext>
          </a:extLst>
        </xdr:cNvPr>
        <xdr:cNvCxnSpPr/>
      </xdr:nvCxnSpPr>
      <xdr:spPr>
        <a:xfrm>
          <a:off x="7254240" y="5120640"/>
          <a:ext cx="1280160" cy="441960"/>
        </a:xfrm>
        <a:prstGeom prst="straightConnector1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1325880</xdr:colOff>
      <xdr:row>30</xdr:row>
      <xdr:rowOff>129540</xdr:rowOff>
    </xdr:from>
    <xdr:to>
      <xdr:col>15</xdr:col>
      <xdr:colOff>502920</xdr:colOff>
      <xdr:row>37</xdr:row>
      <xdr:rowOff>30480</xdr:rowOff>
    </xdr:to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96C38D7A-58C4-9B4A-9DA8-71457CAC040B}"/>
            </a:ext>
          </a:extLst>
        </xdr:cNvPr>
        <xdr:cNvSpPr txBox="1"/>
      </xdr:nvSpPr>
      <xdr:spPr>
        <a:xfrm>
          <a:off x="8534400" y="5562600"/>
          <a:ext cx="3810000" cy="1181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/>
            <a:t>Como vemos, hemos fijado el valor de </a:t>
          </a:r>
          <a:r>
            <a:rPr lang="es-ES" b="1"/>
            <a:t>"Punto de equilibrio"</a:t>
          </a:r>
          <a:r>
            <a:rPr lang="es-ES"/>
            <a:t>, ya que es el mismo para toda la columna. Si no lo fijamos, al arrastrar la celda donde escribimos la fórmula hacia abajo, este valor también se movería... y claro, estaría intentando hacer el cálculo con celdas vacías.</a:t>
          </a:r>
        </a:p>
        <a:p>
          <a:endParaRPr lang="es-ES" sz="1100"/>
        </a:p>
      </xdr:txBody>
    </xdr:sp>
    <xdr:clientData/>
  </xdr:twoCellAnchor>
  <xdr:twoCellAnchor>
    <xdr:from>
      <xdr:col>11</xdr:col>
      <xdr:colOff>434340</xdr:colOff>
      <xdr:row>8</xdr:row>
      <xdr:rowOff>60960</xdr:rowOff>
    </xdr:from>
    <xdr:to>
      <xdr:col>16</xdr:col>
      <xdr:colOff>335280</xdr:colOff>
      <xdr:row>14</xdr:row>
      <xdr:rowOff>175260</xdr:rowOff>
    </xdr:to>
    <xdr:sp macro="" textlink="">
      <xdr:nvSpPr>
        <xdr:cNvPr id="9" name="CuadroTexto 8">
          <a:extLst>
            <a:ext uri="{FF2B5EF4-FFF2-40B4-BE49-F238E27FC236}">
              <a16:creationId xmlns:a16="http://schemas.microsoft.com/office/drawing/2014/main" id="{68391031-E577-CBD3-C1E5-DF095E174A41}"/>
            </a:ext>
          </a:extLst>
        </xdr:cNvPr>
        <xdr:cNvSpPr txBox="1"/>
      </xdr:nvSpPr>
      <xdr:spPr>
        <a:xfrm>
          <a:off x="9105900" y="1463040"/>
          <a:ext cx="3863340" cy="12115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/>
            <a:t>En este caso, tenemos </a:t>
          </a:r>
          <a:r>
            <a:rPr lang="es-ES" b="1"/>
            <a:t>tres columnas</a:t>
          </a:r>
          <a:r>
            <a:rPr lang="es-ES"/>
            <a:t>, que empiezan y terminan en la misma fila. No hay columnas de por medio ni nada que nos pueda liar... Vamos, que escribimos </a:t>
          </a:r>
          <a:r>
            <a:rPr lang="es-ES" b="1"/>
            <a:t>una única fórmula, una sola vez</a:t>
          </a:r>
          <a:r>
            <a:rPr lang="es-ES"/>
            <a:t>, y la arrastramos hacia abajo.</a:t>
          </a:r>
        </a:p>
        <a:p>
          <a:r>
            <a:rPr lang="es-ES"/>
            <a:t>Dado que los cálculos se hacen entre </a:t>
          </a:r>
          <a:r>
            <a:rPr lang="es-ES" b="1"/>
            <a:t>celdas contiguas de la misma fila</a:t>
          </a:r>
          <a:r>
            <a:rPr lang="es-ES"/>
            <a:t>, no habrá problemas.</a:t>
          </a:r>
        </a:p>
        <a:p>
          <a:endParaRPr lang="es-E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1774</xdr:rowOff>
    </xdr:from>
    <xdr:to>
      <xdr:col>25</xdr:col>
      <xdr:colOff>380999</xdr:colOff>
      <xdr:row>4</xdr:row>
      <xdr:rowOff>9256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AB5E5E95-DAF4-42E7-804D-FECFBD555252}"/>
            </a:ext>
          </a:extLst>
        </xdr:cNvPr>
        <xdr:cNvSpPr txBox="1"/>
      </xdr:nvSpPr>
      <xdr:spPr>
        <a:xfrm>
          <a:off x="114300" y="124238"/>
          <a:ext cx="18965793" cy="580343"/>
        </a:xfrm>
        <a:prstGeom prst="rect">
          <a:avLst/>
        </a:prstGeom>
        <a:solidFill>
          <a:srgbClr val="217346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r>
            <a:rPr lang="es-ES" sz="2800" b="1">
              <a:solidFill>
                <a:schemeClr val="bg1"/>
              </a:solidFill>
              <a:latin typeface="+mn-lt"/>
            </a:rPr>
            <a:t>La función SI anidada</a:t>
          </a:r>
        </a:p>
      </xdr:txBody>
    </xdr:sp>
    <xdr:clientData/>
  </xdr:twoCellAnchor>
  <xdr:twoCellAnchor editAs="absolute">
    <xdr:from>
      <xdr:col>1</xdr:col>
      <xdr:colOff>1</xdr:colOff>
      <xdr:row>26</xdr:row>
      <xdr:rowOff>0</xdr:rowOff>
    </xdr:from>
    <xdr:to>
      <xdr:col>4</xdr:col>
      <xdr:colOff>759239</xdr:colOff>
      <xdr:row>31</xdr:row>
      <xdr:rowOff>62120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1CD03B52-2763-427C-A2D7-61C7A77527ED}"/>
            </a:ext>
          </a:extLst>
        </xdr:cNvPr>
        <xdr:cNvSpPr txBox="1"/>
      </xdr:nvSpPr>
      <xdr:spPr>
        <a:xfrm>
          <a:off x="117338" y="4955761"/>
          <a:ext cx="3036955" cy="102842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l"/>
          <a:r>
            <a:rPr lang="es-ES" sz="2000">
              <a:solidFill>
                <a:srgbClr val="217346"/>
              </a:solidFill>
            </a:rPr>
            <a:t>❶</a:t>
          </a:r>
          <a:r>
            <a:rPr lang="es-ES" sz="1100"/>
            <a:t> </a:t>
          </a:r>
          <a:r>
            <a:rPr lang="es-ES" sz="1100">
              <a:solidFill>
                <a:schemeClr val="tx1"/>
              </a:solidFill>
              <a:latin typeface="+mn-lt"/>
              <a:ea typeface="+mn-ea"/>
              <a:cs typeface="+mn-cs"/>
            </a:rPr>
            <a:t>Introducir en la primera cel</a:t>
          </a:r>
          <a:r>
            <a:rPr lang="es-ES" sz="1100" baseline="0">
              <a:solidFill>
                <a:schemeClr val="tx1"/>
              </a:solidFill>
              <a:latin typeface="+mn-lt"/>
              <a:ea typeface="+mn-ea"/>
              <a:cs typeface="+mn-cs"/>
            </a:rPr>
            <a:t>da de la columna </a:t>
          </a:r>
          <a:r>
            <a:rPr lang="es-ES" sz="1100" b="1" baseline="0">
              <a:solidFill>
                <a:srgbClr val="217346"/>
              </a:solidFill>
              <a:latin typeface="+mn-lt"/>
              <a:ea typeface="+mn-ea"/>
              <a:cs typeface="+mn-cs"/>
            </a:rPr>
            <a:t>Riesgo Cliente </a:t>
          </a:r>
          <a:r>
            <a:rPr lang="es-ES" sz="1100" baseline="0">
              <a:solidFill>
                <a:schemeClr val="tx1"/>
              </a:solidFill>
              <a:latin typeface="+mn-lt"/>
              <a:ea typeface="+mn-ea"/>
              <a:cs typeface="+mn-cs"/>
            </a:rPr>
            <a:t>unas funciones </a:t>
          </a:r>
          <a:r>
            <a:rPr lang="es-ES" sz="1100" b="1" baseline="0">
              <a:solidFill>
                <a:srgbClr val="217346"/>
              </a:solidFill>
              <a:latin typeface="+mn-lt"/>
              <a:ea typeface="+mn-ea"/>
              <a:cs typeface="+mn-cs"/>
            </a:rPr>
            <a:t>SI</a:t>
          </a:r>
          <a:r>
            <a:rPr lang="es-ES" sz="1100" baseline="0">
              <a:solidFill>
                <a:schemeClr val="tx1"/>
              </a:solidFill>
              <a:latin typeface="+mn-lt"/>
              <a:ea typeface="+mn-ea"/>
              <a:cs typeface="+mn-cs"/>
            </a:rPr>
            <a:t> anidadas para que busquen el tipo de riesgo de cada cliente</a:t>
          </a:r>
          <a:r>
            <a:rPr lang="es-ES" sz="1100"/>
            <a:t>.</a:t>
          </a:r>
        </a:p>
      </xdr:txBody>
    </xdr:sp>
    <xdr:clientData/>
  </xdr:twoCellAnchor>
  <xdr:twoCellAnchor editAs="absolute">
    <xdr:from>
      <xdr:col>1</xdr:col>
      <xdr:colOff>1</xdr:colOff>
      <xdr:row>31</xdr:row>
      <xdr:rowOff>89729</xdr:rowOff>
    </xdr:from>
    <xdr:to>
      <xdr:col>5</xdr:col>
      <xdr:colOff>6903</xdr:colOff>
      <xdr:row>35</xdr:row>
      <xdr:rowOff>124239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C97C795E-CC73-4F16-B9D1-639B44AEDFB9}"/>
            </a:ext>
          </a:extLst>
        </xdr:cNvPr>
        <xdr:cNvSpPr txBox="1"/>
      </xdr:nvSpPr>
      <xdr:spPr>
        <a:xfrm>
          <a:off x="117338" y="6011794"/>
          <a:ext cx="3043858" cy="80755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l"/>
          <a:r>
            <a:rPr lang="es-ES" sz="2000">
              <a:solidFill>
                <a:srgbClr val="217346"/>
              </a:solidFill>
            </a:rPr>
            <a:t>❷</a:t>
          </a:r>
          <a:r>
            <a:rPr lang="es-ES" sz="1100"/>
            <a:t> </a:t>
          </a:r>
          <a:r>
            <a:rPr lang="es-E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Rellenar la fórmula</a:t>
          </a:r>
          <a:r>
            <a:rPr lang="es-E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tirando del controlador de relleno.</a:t>
          </a:r>
          <a:endParaRPr lang="es-ES" sz="1100"/>
        </a:p>
      </xdr:txBody>
    </xdr:sp>
    <xdr:clientData/>
  </xdr:twoCellAnchor>
  <xdr:twoCellAnchor editAs="absolute">
    <xdr:from>
      <xdr:col>1</xdr:col>
      <xdr:colOff>0</xdr:colOff>
      <xdr:row>5</xdr:row>
      <xdr:rowOff>0</xdr:rowOff>
    </xdr:from>
    <xdr:to>
      <xdr:col>6</xdr:col>
      <xdr:colOff>0</xdr:colOff>
      <xdr:row>22</xdr:row>
      <xdr:rowOff>2759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3A27934D-9FBD-4ABA-B26B-80EC4342402D}"/>
            </a:ext>
          </a:extLst>
        </xdr:cNvPr>
        <xdr:cNvGrpSpPr/>
      </xdr:nvGrpSpPr>
      <xdr:grpSpPr>
        <a:xfrm>
          <a:off x="115661" y="857250"/>
          <a:ext cx="3946071" cy="3125598"/>
          <a:chOff x="117337" y="897283"/>
          <a:chExt cx="3796196" cy="3285433"/>
        </a:xfrm>
      </xdr:grpSpPr>
      <xdr:sp macro="" textlink="">
        <xdr:nvSpPr>
          <xdr:cNvPr id="6" name="CuadroTexto 5">
            <a:extLst>
              <a:ext uri="{FF2B5EF4-FFF2-40B4-BE49-F238E27FC236}">
                <a16:creationId xmlns:a16="http://schemas.microsoft.com/office/drawing/2014/main" id="{80E75390-E43A-48E9-B2BC-DEB9F1715717}"/>
              </a:ext>
            </a:extLst>
          </xdr:cNvPr>
          <xdr:cNvSpPr txBox="1"/>
        </xdr:nvSpPr>
        <xdr:spPr>
          <a:xfrm>
            <a:off x="117337" y="1283803"/>
            <a:ext cx="3796196" cy="2898913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endParaRPr lang="es-ES" sz="1100">
              <a:solidFill>
                <a:schemeClr val="tx1"/>
              </a:solidFill>
              <a:latin typeface="+mn-lt"/>
              <a:ea typeface="+mn-ea"/>
              <a:cs typeface="+mn-cs"/>
            </a:endParaRPr>
          </a:p>
          <a:p>
            <a:r>
              <a:rPr lang="es-ES" sz="1100">
                <a:solidFill>
                  <a:schemeClr val="tx1"/>
                </a:solidFill>
                <a:latin typeface="+mn-lt"/>
                <a:ea typeface="+mn-ea"/>
                <a:cs typeface="+mn-cs"/>
              </a:rPr>
              <a:t>Dentro de cualquiera</a:t>
            </a:r>
            <a:r>
              <a:rPr lang="es-ES" sz="1100" baseline="0">
                <a:solidFill>
                  <a:schemeClr val="tx1"/>
                </a:solidFill>
                <a:latin typeface="+mn-lt"/>
                <a:ea typeface="+mn-ea"/>
                <a:cs typeface="+mn-cs"/>
              </a:rPr>
              <a:t> de los 3 argumentos de la función </a:t>
            </a:r>
            <a:r>
              <a:rPr lang="es-ES" sz="1100" b="1" baseline="0">
                <a:solidFill>
                  <a:srgbClr val="217346"/>
                </a:solidFill>
                <a:latin typeface="+mn-lt"/>
                <a:ea typeface="+mn-ea"/>
                <a:cs typeface="+mn-cs"/>
              </a:rPr>
              <a:t>SI</a:t>
            </a:r>
            <a:r>
              <a:rPr lang="es-ES" sz="1100" baseline="0">
                <a:solidFill>
                  <a:schemeClr val="tx1"/>
                </a:solidFill>
                <a:latin typeface="+mn-lt"/>
                <a:ea typeface="+mn-ea"/>
                <a:cs typeface="+mn-cs"/>
              </a:rPr>
              <a:t> puede haber otra función </a:t>
            </a:r>
            <a:r>
              <a:rPr lang="es-ES" sz="1100" b="1" baseline="0">
                <a:solidFill>
                  <a:srgbClr val="217346"/>
                </a:solidFill>
                <a:latin typeface="+mn-lt"/>
                <a:ea typeface="+mn-ea"/>
                <a:cs typeface="+mn-cs"/>
              </a:rPr>
              <a:t>SI</a:t>
            </a:r>
            <a:r>
              <a:rPr lang="es-ES" sz="1100" baseline="0">
                <a:solidFill>
                  <a:schemeClr val="tx1"/>
                </a:solidFill>
                <a:latin typeface="+mn-lt"/>
                <a:ea typeface="+mn-ea"/>
                <a:cs typeface="+mn-cs"/>
              </a:rPr>
              <a:t> que evalúe una nueva prueba lógica</a:t>
            </a:r>
            <a:r>
              <a:rPr lang="es-ES" sz="1100"/>
              <a:t>.</a:t>
            </a:r>
          </a:p>
          <a:p>
            <a:endParaRPr lang="es-ES" sz="1100"/>
          </a:p>
          <a:p>
            <a:r>
              <a:rPr lang="es-ES" sz="1100"/>
              <a:t>Esta</a:t>
            </a:r>
            <a:r>
              <a:rPr lang="es-ES" sz="1100" baseline="0"/>
              <a:t> forma de utilizar las funciones </a:t>
            </a:r>
            <a:r>
              <a:rPr lang="es-ES" sz="1100" b="1" baseline="0">
                <a:solidFill>
                  <a:srgbClr val="217346"/>
                </a:solidFill>
              </a:rPr>
              <a:t>SI</a:t>
            </a:r>
            <a:r>
              <a:rPr lang="es-ES" sz="1100" baseline="0"/>
              <a:t> permite evaluar árboles de decisión compuestos de hasta </a:t>
            </a:r>
            <a:r>
              <a:rPr lang="es-ES" sz="1100" b="1" baseline="0">
                <a:solidFill>
                  <a:srgbClr val="217346"/>
                </a:solidFill>
              </a:rPr>
              <a:t>64 funciones SI</a:t>
            </a:r>
            <a:r>
              <a:rPr lang="es-ES" sz="1100" baseline="0"/>
              <a:t> anidadas.</a:t>
            </a:r>
          </a:p>
          <a:p>
            <a:endParaRPr lang="es-ES" sz="1100" baseline="0"/>
          </a:p>
          <a:p>
            <a:r>
              <a:rPr lang="es-ES" sz="1100" baseline="0"/>
              <a:t>En cualquier caso, si detectamos que es necesario utilizar una cantidad elevada de funciones </a:t>
            </a:r>
            <a:r>
              <a:rPr lang="es-ES" sz="1100" b="1" baseline="0">
                <a:solidFill>
                  <a:srgbClr val="217346"/>
                </a:solidFill>
              </a:rPr>
              <a:t>SI</a:t>
            </a:r>
            <a:r>
              <a:rPr lang="es-ES" sz="1100" baseline="0"/>
              <a:t> anidadas, es síntoma de que algo no estamos haciendo bien y deberíamos plantearnos otras alternativas. Por ejemplo, la utilización de otras funciones.</a:t>
            </a:r>
          </a:p>
          <a:p>
            <a:endParaRPr lang="es-ES" sz="1100" baseline="0"/>
          </a:p>
          <a:p>
            <a:r>
              <a:rPr lang="es-ES" sz="1100" baseline="0"/>
              <a:t>Es difícil planificar y administrar muchas funciones </a:t>
            </a:r>
            <a:r>
              <a:rPr lang="es-ES" sz="1100" b="1" baseline="0">
                <a:solidFill>
                  <a:srgbClr val="217346"/>
                </a:solidFill>
              </a:rPr>
              <a:t>SI</a:t>
            </a:r>
            <a:r>
              <a:rPr lang="es-ES" sz="1100" baseline="0"/>
              <a:t> anidades dentro de otras.</a:t>
            </a:r>
            <a:endParaRPr lang="es-ES" sz="1100"/>
          </a:p>
        </xdr:txBody>
      </xdr:sp>
      <xdr:sp macro="" textlink="">
        <xdr:nvSpPr>
          <xdr:cNvPr id="7" name="CuadroTexto 6">
            <a:extLst>
              <a:ext uri="{FF2B5EF4-FFF2-40B4-BE49-F238E27FC236}">
                <a16:creationId xmlns:a16="http://schemas.microsoft.com/office/drawing/2014/main" id="{58EE2ABA-98AA-4281-81D5-F3988B85ECDC}"/>
              </a:ext>
            </a:extLst>
          </xdr:cNvPr>
          <xdr:cNvSpPr txBox="1"/>
        </xdr:nvSpPr>
        <xdr:spPr>
          <a:xfrm>
            <a:off x="117337" y="897283"/>
            <a:ext cx="3796196" cy="392042"/>
          </a:xfrm>
          <a:prstGeom prst="rect">
            <a:avLst/>
          </a:prstGeom>
          <a:solidFill>
            <a:schemeClr val="bg1">
              <a:lumMod val="85000"/>
            </a:schemeClr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r>
              <a:rPr lang="es-ES" sz="1600" b="1">
                <a:solidFill>
                  <a:srgbClr val="217346"/>
                </a:solidFill>
                <a:latin typeface="+mn-lt"/>
              </a:rPr>
              <a:t>        ¿Qué</a:t>
            </a:r>
            <a:r>
              <a:rPr lang="es-ES" sz="1600" b="1" baseline="0">
                <a:solidFill>
                  <a:srgbClr val="217346"/>
                </a:solidFill>
                <a:latin typeface="+mn-lt"/>
              </a:rPr>
              <a:t> es?</a:t>
            </a:r>
            <a:endParaRPr lang="es-ES" sz="1600" b="1">
              <a:solidFill>
                <a:srgbClr val="217346"/>
              </a:solidFill>
              <a:latin typeface="+mn-lt"/>
            </a:endParaRPr>
          </a:p>
        </xdr:txBody>
      </xdr:sp>
      <xdr:pic>
        <xdr:nvPicPr>
          <xdr:cNvPr id="8" name="Gráfico 7" descr="Libros">
            <a:extLst>
              <a:ext uri="{FF2B5EF4-FFF2-40B4-BE49-F238E27FC236}">
                <a16:creationId xmlns:a16="http://schemas.microsoft.com/office/drawing/2014/main" id="{0EEBED41-AD7F-45F5-B533-842662214F1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6360" y="931794"/>
            <a:ext cx="312530" cy="312530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0</xdr:colOff>
      <xdr:row>5</xdr:row>
      <xdr:rowOff>0</xdr:rowOff>
    </xdr:from>
    <xdr:to>
      <xdr:col>16</xdr:col>
      <xdr:colOff>469348</xdr:colOff>
      <xdr:row>7</xdr:row>
      <xdr:rowOff>5521</xdr:rowOff>
    </xdr:to>
    <xdr:grpSp>
      <xdr:nvGrpSpPr>
        <xdr:cNvPr id="9" name="Grupo 8">
          <a:extLst>
            <a:ext uri="{FF2B5EF4-FFF2-40B4-BE49-F238E27FC236}">
              <a16:creationId xmlns:a16="http://schemas.microsoft.com/office/drawing/2014/main" id="{ACCF7EF0-DFBA-4F24-BB0A-CF2BF9595B46}"/>
            </a:ext>
          </a:extLst>
        </xdr:cNvPr>
        <xdr:cNvGrpSpPr/>
      </xdr:nvGrpSpPr>
      <xdr:grpSpPr>
        <a:xfrm>
          <a:off x="4177393" y="857250"/>
          <a:ext cx="8517973" cy="372914"/>
          <a:chOff x="4030870" y="897283"/>
          <a:chExt cx="8255000" cy="392042"/>
        </a:xfrm>
      </xdr:grpSpPr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4345F20F-A8E6-4493-A3EB-9E61A7F1D907}"/>
              </a:ext>
            </a:extLst>
          </xdr:cNvPr>
          <xdr:cNvSpPr txBox="1"/>
        </xdr:nvSpPr>
        <xdr:spPr>
          <a:xfrm>
            <a:off x="4030870" y="897283"/>
            <a:ext cx="8255000" cy="392042"/>
          </a:xfrm>
          <a:prstGeom prst="rect">
            <a:avLst/>
          </a:prstGeom>
          <a:solidFill>
            <a:schemeClr val="bg1">
              <a:lumMod val="85000"/>
            </a:schemeClr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r>
              <a:rPr lang="es-ES" sz="1600" b="1">
                <a:solidFill>
                  <a:srgbClr val="217346"/>
                </a:solidFill>
                <a:latin typeface="+mn-lt"/>
              </a:rPr>
              <a:t>        Ejemplo: establecer</a:t>
            </a:r>
            <a:r>
              <a:rPr lang="es-ES" sz="1600" b="1" baseline="0">
                <a:solidFill>
                  <a:srgbClr val="217346"/>
                </a:solidFill>
                <a:latin typeface="+mn-lt"/>
              </a:rPr>
              <a:t> un indicador que detecte el importe que hay en una columna</a:t>
            </a:r>
            <a:endParaRPr lang="es-ES" sz="1600" b="1">
              <a:solidFill>
                <a:srgbClr val="217346"/>
              </a:solidFill>
              <a:latin typeface="+mn-lt"/>
            </a:endParaRPr>
          </a:p>
        </xdr:txBody>
      </xdr:sp>
      <xdr:grpSp>
        <xdr:nvGrpSpPr>
          <xdr:cNvPr id="11" name="Gráfico 99" descr="Maestro">
            <a:extLst>
              <a:ext uri="{FF2B5EF4-FFF2-40B4-BE49-F238E27FC236}">
                <a16:creationId xmlns:a16="http://schemas.microsoft.com/office/drawing/2014/main" id="{71663C19-EA89-40F8-999D-39B1BBE4BCA8}"/>
              </a:ext>
            </a:extLst>
          </xdr:cNvPr>
          <xdr:cNvGrpSpPr/>
        </xdr:nvGrpSpPr>
        <xdr:grpSpPr>
          <a:xfrm>
            <a:off x="4065381" y="917989"/>
            <a:ext cx="348422" cy="348422"/>
            <a:chOff x="4030870" y="3602935"/>
            <a:chExt cx="914400" cy="914400"/>
          </a:xfrm>
          <a:solidFill>
            <a:srgbClr val="217346"/>
          </a:solidFill>
        </xdr:grpSpPr>
        <xdr:sp macro="" textlink="">
          <xdr:nvSpPr>
            <xdr:cNvPr id="12" name="Forma libre: forma 11">
              <a:extLst>
                <a:ext uri="{FF2B5EF4-FFF2-40B4-BE49-F238E27FC236}">
                  <a16:creationId xmlns:a16="http://schemas.microsoft.com/office/drawing/2014/main" id="{4C487E99-2F51-434F-B375-1AC2DE177552}"/>
                </a:ext>
              </a:extLst>
            </xdr:cNvPr>
            <xdr:cNvSpPr/>
          </xdr:nvSpPr>
          <xdr:spPr>
            <a:xfrm>
              <a:off x="4212321" y="3776766"/>
              <a:ext cx="695325" cy="485775"/>
            </a:xfrm>
            <a:custGeom>
              <a:avLst/>
              <a:gdLst>
                <a:gd name="connsiteX0" fmla="*/ 654844 w 695325"/>
                <a:gd name="connsiteY0" fmla="*/ 7144 h 485775"/>
                <a:gd name="connsiteX1" fmla="*/ 45244 w 695325"/>
                <a:gd name="connsiteY1" fmla="*/ 7144 h 485775"/>
                <a:gd name="connsiteX2" fmla="*/ 7144 w 695325"/>
                <a:gd name="connsiteY2" fmla="*/ 45244 h 485775"/>
                <a:gd name="connsiteX3" fmla="*/ 7144 w 695325"/>
                <a:gd name="connsiteY3" fmla="*/ 183356 h 485775"/>
                <a:gd name="connsiteX4" fmla="*/ 41434 w 695325"/>
                <a:gd name="connsiteY4" fmla="*/ 178594 h 485775"/>
                <a:gd name="connsiteX5" fmla="*/ 64294 w 695325"/>
                <a:gd name="connsiteY5" fmla="*/ 180499 h 485775"/>
                <a:gd name="connsiteX6" fmla="*/ 64294 w 695325"/>
                <a:gd name="connsiteY6" fmla="*/ 64294 h 485775"/>
                <a:gd name="connsiteX7" fmla="*/ 635794 w 695325"/>
                <a:gd name="connsiteY7" fmla="*/ 64294 h 485775"/>
                <a:gd name="connsiteX8" fmla="*/ 635794 w 695325"/>
                <a:gd name="connsiteY8" fmla="*/ 426244 h 485775"/>
                <a:gd name="connsiteX9" fmla="*/ 312896 w 695325"/>
                <a:gd name="connsiteY9" fmla="*/ 426244 h 485775"/>
                <a:gd name="connsiteX10" fmla="*/ 258604 w 695325"/>
                <a:gd name="connsiteY10" fmla="*/ 483394 h 485775"/>
                <a:gd name="connsiteX11" fmla="*/ 654844 w 695325"/>
                <a:gd name="connsiteY11" fmla="*/ 483394 h 485775"/>
                <a:gd name="connsiteX12" fmla="*/ 692944 w 695325"/>
                <a:gd name="connsiteY12" fmla="*/ 445294 h 485775"/>
                <a:gd name="connsiteX13" fmla="*/ 692944 w 695325"/>
                <a:gd name="connsiteY13" fmla="*/ 45244 h 485775"/>
                <a:gd name="connsiteX14" fmla="*/ 654844 w 695325"/>
                <a:gd name="connsiteY14" fmla="*/ 7144 h 48577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</a:cxnLst>
              <a:rect l="l" t="t" r="r" b="b"/>
              <a:pathLst>
                <a:path w="695325" h="485775">
                  <a:moveTo>
                    <a:pt x="654844" y="7144"/>
                  </a:moveTo>
                  <a:lnTo>
                    <a:pt x="45244" y="7144"/>
                  </a:lnTo>
                  <a:cubicBezTo>
                    <a:pt x="24289" y="7144"/>
                    <a:pt x="7144" y="24289"/>
                    <a:pt x="7144" y="45244"/>
                  </a:cubicBezTo>
                  <a:lnTo>
                    <a:pt x="7144" y="183356"/>
                  </a:lnTo>
                  <a:cubicBezTo>
                    <a:pt x="17621" y="180499"/>
                    <a:pt x="30004" y="178594"/>
                    <a:pt x="41434" y="178594"/>
                  </a:cubicBezTo>
                  <a:cubicBezTo>
                    <a:pt x="49054" y="178594"/>
                    <a:pt x="56674" y="179546"/>
                    <a:pt x="64294" y="180499"/>
                  </a:cubicBezTo>
                  <a:lnTo>
                    <a:pt x="64294" y="64294"/>
                  </a:lnTo>
                  <a:lnTo>
                    <a:pt x="635794" y="64294"/>
                  </a:lnTo>
                  <a:lnTo>
                    <a:pt x="635794" y="426244"/>
                  </a:lnTo>
                  <a:lnTo>
                    <a:pt x="312896" y="426244"/>
                  </a:lnTo>
                  <a:lnTo>
                    <a:pt x="258604" y="483394"/>
                  </a:lnTo>
                  <a:lnTo>
                    <a:pt x="654844" y="483394"/>
                  </a:lnTo>
                  <a:cubicBezTo>
                    <a:pt x="675799" y="483394"/>
                    <a:pt x="692944" y="466249"/>
                    <a:pt x="692944" y="445294"/>
                  </a:cubicBezTo>
                  <a:lnTo>
                    <a:pt x="692944" y="45244"/>
                  </a:lnTo>
                  <a:cubicBezTo>
                    <a:pt x="692944" y="24289"/>
                    <a:pt x="675799" y="7144"/>
                    <a:pt x="654844" y="7144"/>
                  </a:cubicBezTo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es-ES"/>
            </a:p>
          </xdr:txBody>
        </xdr:sp>
        <xdr:sp macro="" textlink="">
          <xdr:nvSpPr>
            <xdr:cNvPr id="13" name="Forma libre: forma 12">
              <a:extLst>
                <a:ext uri="{FF2B5EF4-FFF2-40B4-BE49-F238E27FC236}">
                  <a16:creationId xmlns:a16="http://schemas.microsoft.com/office/drawing/2014/main" id="{34DF0B0E-3DCF-46D9-899A-37E52843204A}"/>
                </a:ext>
              </a:extLst>
            </xdr:cNvPr>
            <xdr:cNvSpPr/>
          </xdr:nvSpPr>
          <xdr:spPr>
            <a:xfrm>
              <a:off x="4166583" y="3986316"/>
              <a:ext cx="171450" cy="171450"/>
            </a:xfrm>
            <a:custGeom>
              <a:avLst/>
              <a:gdLst>
                <a:gd name="connsiteX0" fmla="*/ 88124 w 171450"/>
                <a:gd name="connsiteY0" fmla="*/ 169069 h 171450"/>
                <a:gd name="connsiteX1" fmla="*/ 169087 w 171450"/>
                <a:gd name="connsiteY1" fmla="*/ 88106 h 171450"/>
                <a:gd name="connsiteX2" fmla="*/ 88124 w 171450"/>
                <a:gd name="connsiteY2" fmla="*/ 7144 h 171450"/>
                <a:gd name="connsiteX3" fmla="*/ 7162 w 171450"/>
                <a:gd name="connsiteY3" fmla="*/ 88106 h 171450"/>
                <a:gd name="connsiteX4" fmla="*/ 88124 w 171450"/>
                <a:gd name="connsiteY4" fmla="*/ 169069 h 17145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171450" h="171450">
                  <a:moveTo>
                    <a:pt x="88124" y="169069"/>
                  </a:moveTo>
                  <a:cubicBezTo>
                    <a:pt x="132892" y="169069"/>
                    <a:pt x="169087" y="132874"/>
                    <a:pt x="169087" y="88106"/>
                  </a:cubicBezTo>
                  <a:cubicBezTo>
                    <a:pt x="169087" y="43339"/>
                    <a:pt x="132892" y="7144"/>
                    <a:pt x="88124" y="7144"/>
                  </a:cubicBezTo>
                  <a:cubicBezTo>
                    <a:pt x="43357" y="7144"/>
                    <a:pt x="7162" y="43339"/>
                    <a:pt x="7162" y="88106"/>
                  </a:cubicBezTo>
                  <a:cubicBezTo>
                    <a:pt x="6209" y="132874"/>
                    <a:pt x="43357" y="169069"/>
                    <a:pt x="88124" y="169069"/>
                  </a:cubicBezTo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es-ES"/>
            </a:p>
          </xdr:txBody>
        </xdr:sp>
        <xdr:sp macro="" textlink="">
          <xdr:nvSpPr>
            <xdr:cNvPr id="14" name="Forma libre: forma 13">
              <a:extLst>
                <a:ext uri="{FF2B5EF4-FFF2-40B4-BE49-F238E27FC236}">
                  <a16:creationId xmlns:a16="http://schemas.microsoft.com/office/drawing/2014/main" id="{466CC87C-635F-49C7-B79D-E5F7E898CE18}"/>
                </a:ext>
              </a:extLst>
            </xdr:cNvPr>
            <xdr:cNvSpPr/>
          </xdr:nvSpPr>
          <xdr:spPr>
            <a:xfrm>
              <a:off x="4063731" y="4035424"/>
              <a:ext cx="514350" cy="304800"/>
            </a:xfrm>
            <a:custGeom>
              <a:avLst/>
              <a:gdLst>
                <a:gd name="connsiteX0" fmla="*/ 502444 w 514350"/>
                <a:gd name="connsiteY0" fmla="*/ 25664 h 304800"/>
                <a:gd name="connsiteX1" fmla="*/ 446246 w 514350"/>
                <a:gd name="connsiteY1" fmla="*/ 13281 h 304800"/>
                <a:gd name="connsiteX2" fmla="*/ 438626 w 514350"/>
                <a:gd name="connsiteY2" fmla="*/ 20901 h 304800"/>
                <a:gd name="connsiteX3" fmla="*/ 299561 w 514350"/>
                <a:gd name="connsiteY3" fmla="*/ 165681 h 304800"/>
                <a:gd name="connsiteX4" fmla="*/ 257651 w 514350"/>
                <a:gd name="connsiteY4" fmla="*/ 148536 h 304800"/>
                <a:gd name="connsiteX5" fmla="*/ 190976 w 514350"/>
                <a:gd name="connsiteY5" fmla="*/ 139964 h 304800"/>
                <a:gd name="connsiteX6" fmla="*/ 124301 w 514350"/>
                <a:gd name="connsiteY6" fmla="*/ 150441 h 304800"/>
                <a:gd name="connsiteX7" fmla="*/ 39529 w 514350"/>
                <a:gd name="connsiteY7" fmla="*/ 195209 h 304800"/>
                <a:gd name="connsiteX8" fmla="*/ 27146 w 514350"/>
                <a:gd name="connsiteY8" fmla="*/ 217116 h 304800"/>
                <a:gd name="connsiteX9" fmla="*/ 7144 w 514350"/>
                <a:gd name="connsiteY9" fmla="*/ 300936 h 304800"/>
                <a:gd name="connsiteX10" fmla="*/ 291941 w 514350"/>
                <a:gd name="connsiteY10" fmla="*/ 300936 h 304800"/>
                <a:gd name="connsiteX11" fmla="*/ 291941 w 514350"/>
                <a:gd name="connsiteY11" fmla="*/ 299984 h 304800"/>
                <a:gd name="connsiteX12" fmla="*/ 372904 w 514350"/>
                <a:gd name="connsiteY12" fmla="*/ 205686 h 304800"/>
                <a:gd name="connsiteX13" fmla="*/ 497681 w 514350"/>
                <a:gd name="connsiteY13" fmla="*/ 74241 h 304800"/>
                <a:gd name="connsiteX14" fmla="*/ 502444 w 514350"/>
                <a:gd name="connsiteY14" fmla="*/ 25664 h 3048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</a:cxnLst>
              <a:rect l="l" t="t" r="r" b="b"/>
              <a:pathLst>
                <a:path w="514350" h="304800">
                  <a:moveTo>
                    <a:pt x="502444" y="25664"/>
                  </a:moveTo>
                  <a:cubicBezTo>
                    <a:pt x="490061" y="6614"/>
                    <a:pt x="465296" y="1851"/>
                    <a:pt x="446246" y="13281"/>
                  </a:cubicBezTo>
                  <a:cubicBezTo>
                    <a:pt x="442436" y="15186"/>
                    <a:pt x="440531" y="18996"/>
                    <a:pt x="438626" y="20901"/>
                  </a:cubicBezTo>
                  <a:lnTo>
                    <a:pt x="299561" y="165681"/>
                  </a:lnTo>
                  <a:cubicBezTo>
                    <a:pt x="286226" y="159014"/>
                    <a:pt x="271939" y="153299"/>
                    <a:pt x="257651" y="148536"/>
                  </a:cubicBezTo>
                  <a:cubicBezTo>
                    <a:pt x="235744" y="144726"/>
                    <a:pt x="212884" y="139964"/>
                    <a:pt x="190976" y="139964"/>
                  </a:cubicBezTo>
                  <a:cubicBezTo>
                    <a:pt x="169069" y="139964"/>
                    <a:pt x="146209" y="143774"/>
                    <a:pt x="124301" y="150441"/>
                  </a:cubicBezTo>
                  <a:cubicBezTo>
                    <a:pt x="91916" y="159014"/>
                    <a:pt x="63341" y="175206"/>
                    <a:pt x="39529" y="195209"/>
                  </a:cubicBezTo>
                  <a:cubicBezTo>
                    <a:pt x="33814" y="200924"/>
                    <a:pt x="29051" y="209496"/>
                    <a:pt x="27146" y="217116"/>
                  </a:cubicBezTo>
                  <a:lnTo>
                    <a:pt x="7144" y="300936"/>
                  </a:lnTo>
                  <a:lnTo>
                    <a:pt x="291941" y="300936"/>
                  </a:lnTo>
                  <a:lnTo>
                    <a:pt x="291941" y="299984"/>
                  </a:lnTo>
                  <a:lnTo>
                    <a:pt x="372904" y="205686"/>
                  </a:lnTo>
                  <a:lnTo>
                    <a:pt x="497681" y="74241"/>
                  </a:lnTo>
                  <a:cubicBezTo>
                    <a:pt x="509111" y="62811"/>
                    <a:pt x="512921" y="40904"/>
                    <a:pt x="502444" y="25664"/>
                  </a:cubicBezTo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es-ES"/>
            </a:p>
          </xdr:txBody>
        </xdr:sp>
      </xdr:grpSp>
    </xdr:grpSp>
    <xdr:clientData/>
  </xdr:twoCellAnchor>
  <xdr:twoCellAnchor editAs="absolute">
    <xdr:from>
      <xdr:col>1</xdr:col>
      <xdr:colOff>3036</xdr:colOff>
      <xdr:row>23</xdr:row>
      <xdr:rowOff>0</xdr:rowOff>
    </xdr:from>
    <xdr:to>
      <xdr:col>16</xdr:col>
      <xdr:colOff>469347</xdr:colOff>
      <xdr:row>25</xdr:row>
      <xdr:rowOff>5520</xdr:rowOff>
    </xdr:to>
    <xdr:grpSp>
      <xdr:nvGrpSpPr>
        <xdr:cNvPr id="15" name="Grupo 14">
          <a:extLst>
            <a:ext uri="{FF2B5EF4-FFF2-40B4-BE49-F238E27FC236}">
              <a16:creationId xmlns:a16="http://schemas.microsoft.com/office/drawing/2014/main" id="{66A8046C-4C1C-4CCB-8061-105D65BE6565}"/>
            </a:ext>
          </a:extLst>
        </xdr:cNvPr>
        <xdr:cNvGrpSpPr/>
      </xdr:nvGrpSpPr>
      <xdr:grpSpPr>
        <a:xfrm>
          <a:off x="118697" y="4163786"/>
          <a:ext cx="12576668" cy="372913"/>
          <a:chOff x="117336" y="3989457"/>
          <a:chExt cx="12168533" cy="392042"/>
        </a:xfrm>
      </xdr:grpSpPr>
      <xdr:sp macro="" textlink="">
        <xdr:nvSpPr>
          <xdr:cNvPr id="16" name="CuadroTexto 15">
            <a:extLst>
              <a:ext uri="{FF2B5EF4-FFF2-40B4-BE49-F238E27FC236}">
                <a16:creationId xmlns:a16="http://schemas.microsoft.com/office/drawing/2014/main" id="{69D9C42C-527B-433F-9E0D-C853F39CB344}"/>
              </a:ext>
            </a:extLst>
          </xdr:cNvPr>
          <xdr:cNvSpPr txBox="1"/>
        </xdr:nvSpPr>
        <xdr:spPr>
          <a:xfrm>
            <a:off x="117336" y="3989457"/>
            <a:ext cx="12168533" cy="392042"/>
          </a:xfrm>
          <a:prstGeom prst="rect">
            <a:avLst/>
          </a:prstGeom>
          <a:solidFill>
            <a:schemeClr val="bg1">
              <a:lumMod val="85000"/>
            </a:schemeClr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r>
              <a:rPr lang="es-ES" sz="1600" b="1">
                <a:solidFill>
                  <a:srgbClr val="217346"/>
                </a:solidFill>
                <a:latin typeface="+mn-lt"/>
              </a:rPr>
              <a:t>        Ejercicio 1: búsqueda</a:t>
            </a:r>
            <a:r>
              <a:rPr lang="es-ES" sz="1600" b="1" baseline="0">
                <a:solidFill>
                  <a:srgbClr val="217346"/>
                </a:solidFill>
                <a:latin typeface="+mn-lt"/>
              </a:rPr>
              <a:t> por tramos con la función SI</a:t>
            </a:r>
            <a:endParaRPr lang="es-ES" sz="1600" b="1">
              <a:solidFill>
                <a:srgbClr val="217346"/>
              </a:solidFill>
              <a:latin typeface="+mn-lt"/>
            </a:endParaRPr>
          </a:p>
        </xdr:txBody>
      </xdr:sp>
      <xdr:grpSp>
        <xdr:nvGrpSpPr>
          <xdr:cNvPr id="17" name="Gráfico 105" descr="Lápiz">
            <a:extLst>
              <a:ext uri="{FF2B5EF4-FFF2-40B4-BE49-F238E27FC236}">
                <a16:creationId xmlns:a16="http://schemas.microsoft.com/office/drawing/2014/main" id="{62F5D744-9DB2-4A86-AEBF-372BE5F72492}"/>
              </a:ext>
            </a:extLst>
          </xdr:cNvPr>
          <xdr:cNvGrpSpPr/>
        </xdr:nvGrpSpPr>
        <xdr:grpSpPr>
          <a:xfrm>
            <a:off x="193261" y="4047988"/>
            <a:ext cx="262282" cy="262282"/>
            <a:chOff x="4030870" y="3023152"/>
            <a:chExt cx="914400" cy="914400"/>
          </a:xfrm>
          <a:solidFill>
            <a:srgbClr val="217346"/>
          </a:solidFill>
        </xdr:grpSpPr>
        <xdr:sp macro="" textlink="">
          <xdr:nvSpPr>
            <xdr:cNvPr id="18" name="Forma libre: forma 17">
              <a:extLst>
                <a:ext uri="{FF2B5EF4-FFF2-40B4-BE49-F238E27FC236}">
                  <a16:creationId xmlns:a16="http://schemas.microsoft.com/office/drawing/2014/main" id="{11941E3D-CD04-49AB-9A9E-407EE4703C8A}"/>
                </a:ext>
              </a:extLst>
            </xdr:cNvPr>
            <xdr:cNvSpPr/>
          </xdr:nvSpPr>
          <xdr:spPr>
            <a:xfrm>
              <a:off x="4099926" y="3196031"/>
              <a:ext cx="666750" cy="666750"/>
            </a:xfrm>
            <a:custGeom>
              <a:avLst/>
              <a:gdLst>
                <a:gd name="connsiteX0" fmla="*/ 169069 w 666750"/>
                <a:gd name="connsiteY0" fmla="*/ 504349 h 666750"/>
                <a:gd name="connsiteX1" fmla="*/ 169069 w 666750"/>
                <a:gd name="connsiteY1" fmla="*/ 571976 h 666750"/>
                <a:gd name="connsiteX2" fmla="*/ 88106 w 666750"/>
                <a:gd name="connsiteY2" fmla="*/ 598646 h 666750"/>
                <a:gd name="connsiteX3" fmla="*/ 73819 w 666750"/>
                <a:gd name="connsiteY3" fmla="*/ 584359 h 666750"/>
                <a:gd name="connsiteX4" fmla="*/ 100489 w 666750"/>
                <a:gd name="connsiteY4" fmla="*/ 503396 h 666750"/>
                <a:gd name="connsiteX5" fmla="*/ 169069 w 666750"/>
                <a:gd name="connsiteY5" fmla="*/ 504349 h 666750"/>
                <a:gd name="connsiteX6" fmla="*/ 543401 w 666750"/>
                <a:gd name="connsiteY6" fmla="*/ 7144 h 666750"/>
                <a:gd name="connsiteX7" fmla="*/ 67151 w 666750"/>
                <a:gd name="connsiteY7" fmla="*/ 484346 h 666750"/>
                <a:gd name="connsiteX8" fmla="*/ 7144 w 666750"/>
                <a:gd name="connsiteY8" fmla="*/ 665321 h 666750"/>
                <a:gd name="connsiteX9" fmla="*/ 189071 w 666750"/>
                <a:gd name="connsiteY9" fmla="*/ 605314 h 666750"/>
                <a:gd name="connsiteX10" fmla="*/ 665321 w 666750"/>
                <a:gd name="connsiteY10" fmla="*/ 129064 h 66675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</a:cxnLst>
              <a:rect l="l" t="t" r="r" b="b"/>
              <a:pathLst>
                <a:path w="666750" h="666750">
                  <a:moveTo>
                    <a:pt x="169069" y="504349"/>
                  </a:moveTo>
                  <a:cubicBezTo>
                    <a:pt x="188119" y="523399"/>
                    <a:pt x="188119" y="552926"/>
                    <a:pt x="169069" y="571976"/>
                  </a:cubicBezTo>
                  <a:lnTo>
                    <a:pt x="88106" y="598646"/>
                  </a:lnTo>
                  <a:lnTo>
                    <a:pt x="73819" y="584359"/>
                  </a:lnTo>
                  <a:lnTo>
                    <a:pt x="100489" y="503396"/>
                  </a:lnTo>
                  <a:cubicBezTo>
                    <a:pt x="120491" y="485299"/>
                    <a:pt x="150019" y="485299"/>
                    <a:pt x="169069" y="504349"/>
                  </a:cubicBezTo>
                  <a:close/>
                  <a:moveTo>
                    <a:pt x="543401" y="7144"/>
                  </a:moveTo>
                  <a:lnTo>
                    <a:pt x="67151" y="484346"/>
                  </a:lnTo>
                  <a:lnTo>
                    <a:pt x="7144" y="665321"/>
                  </a:lnTo>
                  <a:lnTo>
                    <a:pt x="189071" y="605314"/>
                  </a:lnTo>
                  <a:lnTo>
                    <a:pt x="665321" y="129064"/>
                  </a:lnTo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es-ES"/>
            </a:p>
          </xdr:txBody>
        </xdr:sp>
        <xdr:sp macro="" textlink="">
          <xdr:nvSpPr>
            <xdr:cNvPr id="19" name="Forma libre: forma 18">
              <a:extLst>
                <a:ext uri="{FF2B5EF4-FFF2-40B4-BE49-F238E27FC236}">
                  <a16:creationId xmlns:a16="http://schemas.microsoft.com/office/drawing/2014/main" id="{E149B877-E63E-4AC4-B0F6-D59AE062E52E}"/>
                </a:ext>
              </a:extLst>
            </xdr:cNvPr>
            <xdr:cNvSpPr/>
          </xdr:nvSpPr>
          <xdr:spPr>
            <a:xfrm>
              <a:off x="4662854" y="3091256"/>
              <a:ext cx="209550" cy="209550"/>
            </a:xfrm>
            <a:custGeom>
              <a:avLst/>
              <a:gdLst>
                <a:gd name="connsiteX0" fmla="*/ 195739 w 209550"/>
                <a:gd name="connsiteY0" fmla="*/ 86201 h 209550"/>
                <a:gd name="connsiteX1" fmla="*/ 128111 w 209550"/>
                <a:gd name="connsiteY1" fmla="*/ 18574 h 209550"/>
                <a:gd name="connsiteX2" fmla="*/ 73819 w 209550"/>
                <a:gd name="connsiteY2" fmla="*/ 18574 h 209550"/>
                <a:gd name="connsiteX3" fmla="*/ 7144 w 209550"/>
                <a:gd name="connsiteY3" fmla="*/ 85249 h 209550"/>
                <a:gd name="connsiteX4" fmla="*/ 128111 w 209550"/>
                <a:gd name="connsiteY4" fmla="*/ 206216 h 209550"/>
                <a:gd name="connsiteX5" fmla="*/ 194786 w 209550"/>
                <a:gd name="connsiteY5" fmla="*/ 139541 h 209550"/>
                <a:gd name="connsiteX6" fmla="*/ 195739 w 209550"/>
                <a:gd name="connsiteY6" fmla="*/ 86201 h 20955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</a:cxnLst>
              <a:rect l="l" t="t" r="r" b="b"/>
              <a:pathLst>
                <a:path w="209550" h="209550">
                  <a:moveTo>
                    <a:pt x="195739" y="86201"/>
                  </a:moveTo>
                  <a:lnTo>
                    <a:pt x="128111" y="18574"/>
                  </a:lnTo>
                  <a:cubicBezTo>
                    <a:pt x="112871" y="3334"/>
                    <a:pt x="89059" y="3334"/>
                    <a:pt x="73819" y="18574"/>
                  </a:cubicBezTo>
                  <a:lnTo>
                    <a:pt x="7144" y="85249"/>
                  </a:lnTo>
                  <a:lnTo>
                    <a:pt x="128111" y="206216"/>
                  </a:lnTo>
                  <a:lnTo>
                    <a:pt x="194786" y="139541"/>
                  </a:lnTo>
                  <a:cubicBezTo>
                    <a:pt x="210979" y="125254"/>
                    <a:pt x="210979" y="101441"/>
                    <a:pt x="195739" y="86201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es-ES"/>
            </a:p>
          </xdr:txBody>
        </xdr:sp>
      </xdr:grpSp>
    </xdr:grpSp>
    <xdr:clientData/>
  </xdr:twoCellAnchor>
  <xdr:twoCellAnchor editAs="absolute">
    <xdr:from>
      <xdr:col>12</xdr:col>
      <xdr:colOff>675133</xdr:colOff>
      <xdr:row>10</xdr:row>
      <xdr:rowOff>86030</xdr:rowOff>
    </xdr:from>
    <xdr:to>
      <xdr:col>12</xdr:col>
      <xdr:colOff>675133</xdr:colOff>
      <xdr:row>11</xdr:row>
      <xdr:rowOff>175759</xdr:rowOff>
    </xdr:to>
    <xdr:cxnSp macro="">
      <xdr:nvCxnSpPr>
        <xdr:cNvPr id="21" name="Conector recto de flecha 20">
          <a:extLst>
            <a:ext uri="{FF2B5EF4-FFF2-40B4-BE49-F238E27FC236}">
              <a16:creationId xmlns:a16="http://schemas.microsoft.com/office/drawing/2014/main" id="{3498DF97-0D92-47A5-9E0C-1B5D3E25C244}"/>
            </a:ext>
          </a:extLst>
        </xdr:cNvPr>
        <xdr:cNvCxnSpPr/>
      </xdr:nvCxnSpPr>
      <xdr:spPr>
        <a:xfrm flipV="1">
          <a:off x="9965410" y="1865164"/>
          <a:ext cx="0" cy="273425"/>
        </a:xfrm>
        <a:prstGeom prst="straightConnector1">
          <a:avLst/>
        </a:prstGeom>
        <a:ln w="12700">
          <a:solidFill>
            <a:schemeClr val="bg1">
              <a:lumMod val="75000"/>
            </a:schemeClr>
          </a:solidFill>
          <a:prstDash val="sys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62118</xdr:colOff>
      <xdr:row>34</xdr:row>
      <xdr:rowOff>41412</xdr:rowOff>
    </xdr:from>
    <xdr:to>
      <xdr:col>10</xdr:col>
      <xdr:colOff>248487</xdr:colOff>
      <xdr:row>43</xdr:row>
      <xdr:rowOff>34510</xdr:rowOff>
    </xdr:to>
    <xdr:sp macro="" textlink="">
      <xdr:nvSpPr>
        <xdr:cNvPr id="28" name="Forma libre: forma 27">
          <a:extLst>
            <a:ext uri="{FF2B5EF4-FFF2-40B4-BE49-F238E27FC236}">
              <a16:creationId xmlns:a16="http://schemas.microsoft.com/office/drawing/2014/main" id="{6B9288AB-1E41-42BA-9585-17D6670A5201}"/>
            </a:ext>
          </a:extLst>
        </xdr:cNvPr>
        <xdr:cNvSpPr/>
      </xdr:nvSpPr>
      <xdr:spPr>
        <a:xfrm rot="5400000">
          <a:off x="6550167" y="7316298"/>
          <a:ext cx="1732446" cy="186369"/>
        </a:xfrm>
        <a:custGeom>
          <a:avLst/>
          <a:gdLst>
            <a:gd name="connsiteX0" fmla="*/ 0 w 862771"/>
            <a:gd name="connsiteY0" fmla="*/ 186369 h 186369"/>
            <a:gd name="connsiteX1" fmla="*/ 262282 w 862771"/>
            <a:gd name="connsiteY1" fmla="*/ 10 h 186369"/>
            <a:gd name="connsiteX2" fmla="*/ 862771 w 862771"/>
            <a:gd name="connsiteY2" fmla="*/ 179467 h 18636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862771" h="186369">
              <a:moveTo>
                <a:pt x="0" y="186369"/>
              </a:moveTo>
              <a:cubicBezTo>
                <a:pt x="59243" y="93764"/>
                <a:pt x="118487" y="1160"/>
                <a:pt x="262282" y="10"/>
              </a:cubicBezTo>
              <a:cubicBezTo>
                <a:pt x="406077" y="-1140"/>
                <a:pt x="634424" y="89163"/>
                <a:pt x="862771" y="179467"/>
              </a:cubicBezTo>
            </a:path>
          </a:pathLst>
        </a:custGeom>
        <a:noFill/>
        <a:ln>
          <a:solidFill>
            <a:schemeClr val="bg1">
              <a:lumMod val="75000"/>
            </a:schemeClr>
          </a:solidFill>
          <a:headEnd type="none" w="med" len="med"/>
          <a:tailEnd type="triangl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absolute">
    <xdr:from>
      <xdr:col>7</xdr:col>
      <xdr:colOff>789214</xdr:colOff>
      <xdr:row>15</xdr:row>
      <xdr:rowOff>40822</xdr:rowOff>
    </xdr:from>
    <xdr:to>
      <xdr:col>10</xdr:col>
      <xdr:colOff>179456</xdr:colOff>
      <xdr:row>21</xdr:row>
      <xdr:rowOff>142876</xdr:rowOff>
    </xdr:to>
    <xdr:sp macro="" textlink="">
      <xdr:nvSpPr>
        <xdr:cNvPr id="35" name="Bocadillo: rectángulo con esquinas redondeadas 34">
          <a:extLst>
            <a:ext uri="{FF2B5EF4-FFF2-40B4-BE49-F238E27FC236}">
              <a16:creationId xmlns:a16="http://schemas.microsoft.com/office/drawing/2014/main" id="{375D8B66-FE5D-4235-B213-6CA1E85C7035}"/>
            </a:ext>
          </a:extLst>
        </xdr:cNvPr>
        <xdr:cNvSpPr/>
      </xdr:nvSpPr>
      <xdr:spPr>
        <a:xfrm>
          <a:off x="4966607" y="2735036"/>
          <a:ext cx="2703581" cy="1204233"/>
        </a:xfrm>
        <a:prstGeom prst="wedgeRoundRectCallout">
          <a:avLst>
            <a:gd name="adj1" fmla="val 19949"/>
            <a:gd name="adj2" fmla="val -61199"/>
            <a:gd name="adj3" fmla="val 16667"/>
          </a:avLst>
        </a:prstGeom>
        <a:solidFill>
          <a:schemeClr val="accent1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000" b="1" u="sng">
              <a:solidFill>
                <a:schemeClr val="accent1"/>
              </a:solidFill>
              <a:latin typeface="+mn-lt"/>
            </a:rPr>
            <a:t>¡ATENCIÓN!</a:t>
          </a:r>
          <a:endParaRPr lang="es-ES" sz="1000" b="1" u="sng" baseline="0">
            <a:solidFill>
              <a:schemeClr val="accent1"/>
            </a:solidFill>
            <a:latin typeface="+mn-lt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" sz="1000" b="0" i="0" u="none" strike="noStrike" kern="0" cap="none" spc="0" normalizeH="0" baseline="0" noProof="0">
              <a:ln>
                <a:noFill/>
              </a:ln>
              <a:solidFill>
                <a:srgbClr val="0070C0"/>
              </a:solidFill>
              <a:effectLst/>
              <a:uLnTx/>
              <a:uFillTx/>
              <a:latin typeface="+mn-lt"/>
              <a:ea typeface="+mn-ea"/>
              <a:cs typeface="+mn-cs"/>
            </a:rPr>
            <a:t>Si la fórmula que vamos a escribir es larga, es conveniente hacerlo sobre la barra de fórmulas, de lo contrario tendremos dificultades para seleccionar las celdas colindantes.</a:t>
          </a:r>
        </a:p>
      </xdr:txBody>
    </xdr:sp>
    <xdr:clientData/>
  </xdr:twoCellAnchor>
  <xdr:twoCellAnchor editAs="absolute">
    <xdr:from>
      <xdr:col>10</xdr:col>
      <xdr:colOff>745435</xdr:colOff>
      <xdr:row>15</xdr:row>
      <xdr:rowOff>158750</xdr:rowOff>
    </xdr:from>
    <xdr:to>
      <xdr:col>16</xdr:col>
      <xdr:colOff>179456</xdr:colOff>
      <xdr:row>21</xdr:row>
      <xdr:rowOff>40821</xdr:rowOff>
    </xdr:to>
    <xdr:sp macro="" textlink="">
      <xdr:nvSpPr>
        <xdr:cNvPr id="36" name="Bocadillo: rectángulo con esquinas redondeadas 35">
          <a:extLst>
            <a:ext uri="{FF2B5EF4-FFF2-40B4-BE49-F238E27FC236}">
              <a16:creationId xmlns:a16="http://schemas.microsoft.com/office/drawing/2014/main" id="{5E1AF244-94FE-4AF3-ADCE-3FCF8ADB692F}"/>
            </a:ext>
          </a:extLst>
        </xdr:cNvPr>
        <xdr:cNvSpPr/>
      </xdr:nvSpPr>
      <xdr:spPr>
        <a:xfrm>
          <a:off x="8236167" y="2852964"/>
          <a:ext cx="4169307" cy="984250"/>
        </a:xfrm>
        <a:prstGeom prst="wedgeRoundRectCallout">
          <a:avLst>
            <a:gd name="adj1" fmla="val -21400"/>
            <a:gd name="adj2" fmla="val -63268"/>
            <a:gd name="adj3" fmla="val 16667"/>
          </a:avLst>
        </a:prstGeom>
        <a:solidFill>
          <a:schemeClr val="accent1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" sz="1000" b="1" u="sng">
              <a:solidFill>
                <a:schemeClr val="accent1"/>
              </a:solidFill>
              <a:latin typeface="+mn-lt"/>
            </a:rPr>
            <a:t>¡ATENCIÓN!</a:t>
          </a:r>
          <a:endParaRPr lang="es-ES" sz="1000" b="1" u="sng" baseline="0">
            <a:solidFill>
              <a:schemeClr val="accent1"/>
            </a:solidFill>
            <a:latin typeface="+mn-lt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" sz="1000" b="0" i="0" u="none" strike="noStrike" kern="0" cap="none" spc="0" normalizeH="0" baseline="0" noProof="0">
              <a:ln>
                <a:noFill/>
              </a:ln>
              <a:solidFill>
                <a:schemeClr val="accent1"/>
              </a:solidFill>
              <a:effectLst/>
              <a:uLnTx/>
              <a:uFillTx/>
              <a:latin typeface="+mn-lt"/>
              <a:ea typeface="+mn-ea"/>
              <a:cs typeface="+mn-cs"/>
            </a:rPr>
            <a:t>Si la función detecta que no hay nada en </a:t>
          </a:r>
          <a:r>
            <a:rPr kumimoji="0" lang="es-ES" sz="1000" b="1" i="0" u="none" strike="noStrike" kern="0" cap="none" spc="0" normalizeH="0" baseline="0" noProof="0">
              <a:ln>
                <a:noFill/>
              </a:ln>
              <a:solidFill>
                <a:schemeClr val="accent1"/>
              </a:solidFill>
              <a:effectLst/>
              <a:uLnTx/>
              <a:uFillTx/>
              <a:latin typeface="+mn-lt"/>
              <a:ea typeface="+mn-ea"/>
              <a:cs typeface="+mn-cs"/>
            </a:rPr>
            <a:t>I10</a:t>
          </a:r>
          <a:r>
            <a:rPr kumimoji="0" lang="es-ES" sz="1000" b="0" i="0" u="none" strike="noStrike" kern="0" cap="none" spc="0" normalizeH="0" baseline="0" noProof="0">
              <a:ln>
                <a:noFill/>
              </a:ln>
              <a:solidFill>
                <a:schemeClr val="accent1"/>
              </a:solidFill>
              <a:effectLst/>
              <a:uLnTx/>
              <a:uFillTx/>
              <a:latin typeface="+mn-lt"/>
              <a:ea typeface="+mn-ea"/>
              <a:cs typeface="+mn-cs"/>
            </a:rPr>
            <a:t>, devuelve "</a:t>
          </a:r>
          <a:r>
            <a:rPr kumimoji="0" lang="es-ES" sz="1000" b="1" i="0" u="none" strike="noStrike" kern="0" cap="none" spc="0" normalizeH="0" baseline="0" noProof="0">
              <a:ln>
                <a:noFill/>
              </a:ln>
              <a:solidFill>
                <a:schemeClr val="accent1"/>
              </a:solidFill>
              <a:effectLst/>
              <a:uLnTx/>
              <a:uFillTx/>
              <a:latin typeface="+mn-lt"/>
              <a:ea typeface="+mn-ea"/>
              <a:cs typeface="+mn-cs"/>
            </a:rPr>
            <a:t>Sin importe</a:t>
          </a:r>
          <a:r>
            <a:rPr kumimoji="0" lang="es-ES" sz="1000" b="0" i="0" u="none" strike="noStrike" kern="0" cap="none" spc="0" normalizeH="0" baseline="0" noProof="0">
              <a:ln>
                <a:noFill/>
              </a:ln>
              <a:solidFill>
                <a:schemeClr val="accent1"/>
              </a:solidFill>
              <a:effectLst/>
              <a:uLnTx/>
              <a:uFillTx/>
              <a:latin typeface="+mn-lt"/>
              <a:ea typeface="+mn-ea"/>
              <a:cs typeface="+mn-cs"/>
            </a:rPr>
            <a:t>". Si el intento es fallido, con una nueva función </a:t>
          </a:r>
          <a:r>
            <a:rPr kumimoji="0" lang="es-ES" sz="1000" b="1" i="0" u="none" strike="noStrike" kern="0" cap="none" spc="0" normalizeH="0" baseline="0" noProof="0">
              <a:ln>
                <a:noFill/>
              </a:ln>
              <a:solidFill>
                <a:schemeClr val="accent1"/>
              </a:solidFill>
              <a:effectLst/>
              <a:uLnTx/>
              <a:uFillTx/>
              <a:latin typeface="+mn-lt"/>
              <a:ea typeface="+mn-ea"/>
              <a:cs typeface="+mn-cs"/>
            </a:rPr>
            <a:t>SI</a:t>
          </a:r>
          <a:r>
            <a:rPr kumimoji="0" lang="es-ES" sz="1000" b="0" i="0" u="none" strike="noStrike" kern="0" cap="none" spc="0" normalizeH="0" baseline="0" noProof="0">
              <a:ln>
                <a:noFill/>
              </a:ln>
              <a:solidFill>
                <a:schemeClr val="accent1"/>
              </a:solidFill>
              <a:effectLst/>
              <a:uLnTx/>
              <a:uFillTx/>
              <a:latin typeface="+mn-lt"/>
              <a:ea typeface="+mn-ea"/>
              <a:cs typeface="+mn-cs"/>
            </a:rPr>
            <a:t> anidada dentro del 3</a:t>
          </a:r>
          <a:r>
            <a:rPr kumimoji="0" lang="es-ES" sz="1000" b="0" i="0" u="none" strike="noStrike" kern="0" cap="none" spc="0" normalizeH="0" baseline="30000" noProof="0">
              <a:ln>
                <a:noFill/>
              </a:ln>
              <a:solidFill>
                <a:schemeClr val="accent1"/>
              </a:solidFill>
              <a:effectLst/>
              <a:uLnTx/>
              <a:uFillTx/>
              <a:latin typeface="+mn-lt"/>
              <a:ea typeface="+mn-ea"/>
              <a:cs typeface="+mn-cs"/>
            </a:rPr>
            <a:t>er</a:t>
          </a:r>
          <a:r>
            <a:rPr kumimoji="0" lang="es-ES" sz="1000" b="0" i="0" u="none" strike="noStrike" kern="0" cap="none" spc="0" normalizeH="0" baseline="0" noProof="0">
              <a:ln>
                <a:noFill/>
              </a:ln>
              <a:solidFill>
                <a:schemeClr val="accent1"/>
              </a:solidFill>
              <a:effectLst/>
              <a:uLnTx/>
              <a:uFillTx/>
              <a:latin typeface="+mn-lt"/>
              <a:ea typeface="+mn-ea"/>
              <a:cs typeface="+mn-cs"/>
            </a:rPr>
            <a:t> argumento, evalúa si el importe es mayor que </a:t>
          </a:r>
          <a:r>
            <a:rPr kumimoji="0" lang="es-ES" sz="1000" b="1" i="0" u="none" strike="noStrike" kern="0" cap="none" spc="0" normalizeH="0" baseline="0" noProof="0">
              <a:ln>
                <a:noFill/>
              </a:ln>
              <a:solidFill>
                <a:schemeClr val="accent1"/>
              </a:solidFill>
              <a:effectLst/>
              <a:uLnTx/>
              <a:uFillTx/>
              <a:latin typeface="+mn-lt"/>
              <a:ea typeface="+mn-ea"/>
              <a:cs typeface="+mn-cs"/>
            </a:rPr>
            <a:t>5000</a:t>
          </a:r>
          <a:r>
            <a:rPr kumimoji="0" lang="es-ES" sz="1000" b="0" i="0" u="none" strike="noStrike" kern="0" cap="none" spc="0" normalizeH="0" baseline="0" noProof="0">
              <a:ln>
                <a:noFill/>
              </a:ln>
              <a:solidFill>
                <a:schemeClr val="accent1"/>
              </a:solidFill>
              <a:effectLst/>
              <a:uLnTx/>
              <a:uFillTx/>
              <a:latin typeface="+mn-lt"/>
              <a:ea typeface="+mn-ea"/>
              <a:cs typeface="+mn-cs"/>
            </a:rPr>
            <a:t>. </a:t>
          </a:r>
        </a:p>
      </xdr:txBody>
    </xdr:sp>
    <xdr:clientData/>
  </xdr:twoCellAnchor>
  <xdr:twoCellAnchor editAs="absolute">
    <xdr:from>
      <xdr:col>10</xdr:col>
      <xdr:colOff>759238</xdr:colOff>
      <xdr:row>25</xdr:row>
      <xdr:rowOff>183695</xdr:rowOff>
    </xdr:from>
    <xdr:to>
      <xdr:col>14</xdr:col>
      <xdr:colOff>759239</xdr:colOff>
      <xdr:row>31</xdr:row>
      <xdr:rowOff>47624</xdr:rowOff>
    </xdr:to>
    <xdr:sp macro="" textlink="">
      <xdr:nvSpPr>
        <xdr:cNvPr id="37" name="Bocadillo: rectángulo con esquinas redondeadas 36">
          <a:extLst>
            <a:ext uri="{FF2B5EF4-FFF2-40B4-BE49-F238E27FC236}">
              <a16:creationId xmlns:a16="http://schemas.microsoft.com/office/drawing/2014/main" id="{92B116C3-3FE0-4928-97DB-FDBE0BE65D24}"/>
            </a:ext>
          </a:extLst>
        </xdr:cNvPr>
        <xdr:cNvSpPr/>
      </xdr:nvSpPr>
      <xdr:spPr>
        <a:xfrm>
          <a:off x="8249970" y="4714874"/>
          <a:ext cx="3156858" cy="972911"/>
        </a:xfrm>
        <a:prstGeom prst="wedgeRoundRectCallout">
          <a:avLst>
            <a:gd name="adj1" fmla="val -55470"/>
            <a:gd name="adj2" fmla="val 19726"/>
            <a:gd name="adj3" fmla="val 16667"/>
          </a:avLst>
        </a:prstGeom>
        <a:solidFill>
          <a:schemeClr val="accent1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" sz="1000" b="1" u="sng">
              <a:solidFill>
                <a:schemeClr val="accent1"/>
              </a:solidFill>
              <a:latin typeface="+mn-lt"/>
            </a:rPr>
            <a:t>¡ATENCIÓN!</a:t>
          </a:r>
          <a:endParaRPr lang="es-ES" sz="1000" b="1" u="sng" baseline="0">
            <a:solidFill>
              <a:schemeClr val="accent1"/>
            </a:solidFill>
            <a:latin typeface="+mn-lt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" sz="1000" b="0" i="0" u="none" strike="noStrike" kern="0" cap="none" spc="0" normalizeH="0" baseline="0" noProof="0">
              <a:ln>
                <a:noFill/>
              </a:ln>
              <a:solidFill>
                <a:srgbClr val="0070C0"/>
              </a:solidFill>
              <a:effectLst/>
              <a:uLnTx/>
              <a:uFillTx/>
              <a:latin typeface="+mn-lt"/>
              <a:ea typeface="+mn-ea"/>
              <a:cs typeface="+mn-cs"/>
            </a:rPr>
            <a:t>Cuando la función </a:t>
          </a:r>
          <a:r>
            <a:rPr kumimoji="0" lang="es-ES" sz="1000" b="1" i="0" u="none" strike="noStrike" kern="0" cap="none" spc="0" normalizeH="0" baseline="0" noProof="0">
              <a:ln>
                <a:noFill/>
              </a:ln>
              <a:solidFill>
                <a:srgbClr val="0070C0"/>
              </a:solidFill>
              <a:effectLst/>
              <a:uLnTx/>
              <a:uFillTx/>
              <a:latin typeface="+mn-lt"/>
              <a:ea typeface="+mn-ea"/>
              <a:cs typeface="+mn-cs"/>
            </a:rPr>
            <a:t>SI</a:t>
          </a:r>
          <a:r>
            <a:rPr kumimoji="0" lang="es-ES" sz="1000" b="0" i="0" u="none" strike="noStrike" kern="0" cap="none" spc="0" normalizeH="0" baseline="0" noProof="0">
              <a:ln>
                <a:noFill/>
              </a:ln>
              <a:solidFill>
                <a:srgbClr val="0070C0"/>
              </a:solidFill>
              <a:effectLst/>
              <a:uLnTx/>
              <a:uFillTx/>
              <a:latin typeface="+mn-lt"/>
              <a:ea typeface="+mn-ea"/>
              <a:cs typeface="+mn-cs"/>
            </a:rPr>
            <a:t> encuentra una prueba lógica cuyo resultado sea </a:t>
          </a:r>
          <a:r>
            <a:rPr kumimoji="0" lang="es-ES" sz="1000" b="1" i="0" u="none" strike="noStrike" kern="0" cap="none" spc="0" normalizeH="0" baseline="0" noProof="0">
              <a:ln>
                <a:noFill/>
              </a:ln>
              <a:solidFill>
                <a:srgbClr val="0070C0"/>
              </a:solidFill>
              <a:effectLst/>
              <a:uLnTx/>
              <a:uFillTx/>
              <a:latin typeface="+mn-lt"/>
              <a:ea typeface="+mn-ea"/>
              <a:cs typeface="+mn-cs"/>
            </a:rPr>
            <a:t>VERDADERO</a:t>
          </a:r>
          <a:r>
            <a:rPr kumimoji="0" lang="es-ES" sz="1000" b="0" i="0" u="none" strike="noStrike" kern="0" cap="none" spc="0" normalizeH="0" baseline="0" noProof="0">
              <a:ln>
                <a:noFill/>
              </a:ln>
              <a:solidFill>
                <a:srgbClr val="0070C0"/>
              </a:solidFill>
              <a:effectLst/>
              <a:uLnTx/>
              <a:uFillTx/>
              <a:latin typeface="+mn-lt"/>
              <a:ea typeface="+mn-ea"/>
              <a:cs typeface="+mn-cs"/>
            </a:rPr>
            <a:t>, devuelve el valor y deja de evaluar las siguientes pruebas.</a:t>
          </a:r>
        </a:p>
      </xdr:txBody>
    </xdr:sp>
    <xdr:clientData/>
  </xdr:twoCellAnchor>
  <xdr:twoCellAnchor editAs="absolute">
    <xdr:from>
      <xdr:col>11</xdr:col>
      <xdr:colOff>0</xdr:colOff>
      <xdr:row>35</xdr:row>
      <xdr:rowOff>1944</xdr:rowOff>
    </xdr:from>
    <xdr:to>
      <xdr:col>15</xdr:col>
      <xdr:colOff>0</xdr:colOff>
      <xdr:row>41</xdr:row>
      <xdr:rowOff>74839</xdr:rowOff>
    </xdr:to>
    <xdr:sp macro="" textlink="">
      <xdr:nvSpPr>
        <xdr:cNvPr id="38" name="Bocadillo: rectángulo con esquinas redondeadas 37">
          <a:extLst>
            <a:ext uri="{FF2B5EF4-FFF2-40B4-BE49-F238E27FC236}">
              <a16:creationId xmlns:a16="http://schemas.microsoft.com/office/drawing/2014/main" id="{C5985A1F-9B21-4341-BFC4-AB6F4A304C60}"/>
            </a:ext>
          </a:extLst>
        </xdr:cNvPr>
        <xdr:cNvSpPr/>
      </xdr:nvSpPr>
      <xdr:spPr>
        <a:xfrm>
          <a:off x="8279946" y="6376890"/>
          <a:ext cx="3156858" cy="1175074"/>
        </a:xfrm>
        <a:prstGeom prst="wedgeRoundRectCallout">
          <a:avLst>
            <a:gd name="adj1" fmla="val -55470"/>
            <a:gd name="adj2" fmla="val 19726"/>
            <a:gd name="adj3" fmla="val 16667"/>
          </a:avLst>
        </a:prstGeom>
        <a:solidFill>
          <a:schemeClr val="accent1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" sz="1000" b="1" u="sng">
              <a:solidFill>
                <a:schemeClr val="accent1"/>
              </a:solidFill>
              <a:latin typeface="+mn-lt"/>
            </a:rPr>
            <a:t>¡ATENCIÓN!</a:t>
          </a:r>
          <a:endParaRPr lang="es-ES" sz="1000" b="1" u="sng" baseline="0">
            <a:solidFill>
              <a:schemeClr val="accent1"/>
            </a:solidFill>
            <a:latin typeface="+mn-lt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" sz="1000" b="0" i="0" u="none" strike="noStrike" kern="0" cap="none" spc="0" normalizeH="0" baseline="0" noProof="0">
              <a:ln>
                <a:noFill/>
              </a:ln>
              <a:solidFill>
                <a:schemeClr val="accent1"/>
              </a:solidFill>
              <a:effectLst/>
              <a:uLnTx/>
              <a:uFillTx/>
              <a:latin typeface="+mn-lt"/>
              <a:ea typeface="+mn-ea"/>
              <a:cs typeface="+mn-cs"/>
            </a:rPr>
            <a:t>Si hay muchos tramos donde buscar, la búsqueda es mejor hacerla utilizando otras funciones como </a:t>
          </a:r>
          <a:r>
            <a:rPr kumimoji="0" lang="es-ES" sz="1000" b="1" i="0" u="none" strike="noStrike" kern="0" cap="none" spc="0" normalizeH="0" baseline="0" noProof="0">
              <a:ln>
                <a:noFill/>
              </a:ln>
              <a:solidFill>
                <a:schemeClr val="accent1"/>
              </a:solidFill>
              <a:effectLst/>
              <a:uLnTx/>
              <a:uFillTx/>
              <a:latin typeface="+mn-lt"/>
              <a:ea typeface="+mn-ea"/>
              <a:cs typeface="+mn-cs"/>
            </a:rPr>
            <a:t>BUSCARV</a:t>
          </a:r>
          <a:r>
            <a:rPr kumimoji="0" lang="es-ES" sz="1000" b="0" i="0" u="none" strike="noStrike" kern="0" cap="none" spc="0" normalizeH="0" baseline="0" noProof="0">
              <a:ln>
                <a:noFill/>
              </a:ln>
              <a:solidFill>
                <a:schemeClr val="accent1"/>
              </a:solidFill>
              <a:effectLst/>
              <a:uLnTx/>
              <a:uFillTx/>
              <a:latin typeface="+mn-lt"/>
              <a:ea typeface="+mn-ea"/>
              <a:cs typeface="+mn-cs"/>
            </a:rPr>
            <a:t> (</a:t>
          </a:r>
          <a:r>
            <a:rPr kumimoji="0" lang="es-ES" sz="1000" b="0" i="1" u="none" strike="noStrike" kern="0" cap="none" spc="0" normalizeH="0" baseline="0" noProof="0">
              <a:ln>
                <a:noFill/>
              </a:ln>
              <a:solidFill>
                <a:schemeClr val="accent1"/>
              </a:solidFill>
              <a:effectLst/>
              <a:uLnTx/>
              <a:uFillTx/>
              <a:latin typeface="+mn-lt"/>
              <a:ea typeface="+mn-ea"/>
              <a:cs typeface="+mn-cs"/>
            </a:rPr>
            <a:t>estableciendo su 4º argumento como </a:t>
          </a:r>
          <a:r>
            <a:rPr kumimoji="0" lang="es-ES" sz="1000" b="1" i="1" u="none" strike="noStrike" kern="0" cap="none" spc="0" normalizeH="0" baseline="0" noProof="0">
              <a:ln>
                <a:noFill/>
              </a:ln>
              <a:solidFill>
                <a:schemeClr val="accent1"/>
              </a:solidFill>
              <a:effectLst/>
              <a:uLnTx/>
              <a:uFillTx/>
              <a:latin typeface="+mn-lt"/>
              <a:ea typeface="+mn-ea"/>
              <a:cs typeface="+mn-cs"/>
            </a:rPr>
            <a:t>VERDADERO</a:t>
          </a:r>
          <a:r>
            <a:rPr kumimoji="0" lang="es-ES" sz="1000" b="0" i="0" u="none" strike="noStrike" kern="0" cap="none" spc="0" normalizeH="0" baseline="0" noProof="0">
              <a:ln>
                <a:noFill/>
              </a:ln>
              <a:solidFill>
                <a:schemeClr val="accent1"/>
              </a:solidFill>
              <a:effectLst/>
              <a:uLnTx/>
              <a:uFillTx/>
              <a:latin typeface="+mn-lt"/>
              <a:ea typeface="+mn-ea"/>
              <a:cs typeface="+mn-cs"/>
            </a:rPr>
            <a:t>). </a:t>
          </a:r>
        </a:p>
      </xdr:txBody>
    </xdr:sp>
    <xdr:clientData/>
  </xdr:twoCellAnchor>
  <xdr:twoCellAnchor>
    <xdr:from>
      <xdr:col>7</xdr:col>
      <xdr:colOff>367394</xdr:colOff>
      <xdr:row>43</xdr:row>
      <xdr:rowOff>34018</xdr:rowOff>
    </xdr:from>
    <xdr:to>
      <xdr:col>7</xdr:col>
      <xdr:colOff>685256</xdr:colOff>
      <xdr:row>52</xdr:row>
      <xdr:rowOff>102053</xdr:rowOff>
    </xdr:to>
    <xdr:sp macro="" textlink="">
      <xdr:nvSpPr>
        <xdr:cNvPr id="20" name="Cerrar llave 19">
          <a:extLst>
            <a:ext uri="{FF2B5EF4-FFF2-40B4-BE49-F238E27FC236}">
              <a16:creationId xmlns:a16="http://schemas.microsoft.com/office/drawing/2014/main" id="{98166D43-A821-C87A-512F-6457F6B6C8BA}"/>
            </a:ext>
          </a:extLst>
        </xdr:cNvPr>
        <xdr:cNvSpPr/>
      </xdr:nvSpPr>
      <xdr:spPr>
        <a:xfrm rot="10800000">
          <a:off x="4544787" y="7878536"/>
          <a:ext cx="317862" cy="1721303"/>
        </a:xfrm>
        <a:prstGeom prst="rightBrac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34018</xdr:colOff>
      <xdr:row>43</xdr:row>
      <xdr:rowOff>170089</xdr:rowOff>
    </xdr:from>
    <xdr:to>
      <xdr:col>7</xdr:col>
      <xdr:colOff>0</xdr:colOff>
      <xdr:row>51</xdr:row>
      <xdr:rowOff>170090</xdr:rowOff>
    </xdr:to>
    <xdr:sp macro="" textlink="">
      <xdr:nvSpPr>
        <xdr:cNvPr id="22" name="CuadroTexto 21">
          <a:extLst>
            <a:ext uri="{FF2B5EF4-FFF2-40B4-BE49-F238E27FC236}">
              <a16:creationId xmlns:a16="http://schemas.microsoft.com/office/drawing/2014/main" id="{505D1F30-6F07-992D-E603-B648BA87C6AC}"/>
            </a:ext>
          </a:extLst>
        </xdr:cNvPr>
        <xdr:cNvSpPr txBox="1"/>
      </xdr:nvSpPr>
      <xdr:spPr>
        <a:xfrm>
          <a:off x="938893" y="8014607"/>
          <a:ext cx="3238500" cy="146957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/>
            <a:t>Por mi cuenta he añadido algunas funcionalidades a la función, como, por ejemplo, que reconozca texto o valores negativos. Aquí hay una prueba para ver que la función funciona bien, que trabaja correctamente y que devuelve lo que tiene que devolver.</a:t>
          </a:r>
          <a:endParaRPr lang="es-E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1774</xdr:rowOff>
    </xdr:from>
    <xdr:to>
      <xdr:col>25</xdr:col>
      <xdr:colOff>106293</xdr:colOff>
      <xdr:row>4</xdr:row>
      <xdr:rowOff>9256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54C4273E-30CD-471E-9FBB-808089B0CC9C}"/>
            </a:ext>
          </a:extLst>
        </xdr:cNvPr>
        <xdr:cNvSpPr txBox="1"/>
      </xdr:nvSpPr>
      <xdr:spPr>
        <a:xfrm>
          <a:off x="114300" y="124238"/>
          <a:ext cx="18965793" cy="580343"/>
        </a:xfrm>
        <a:prstGeom prst="rect">
          <a:avLst/>
        </a:prstGeom>
        <a:solidFill>
          <a:srgbClr val="217346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r>
            <a:rPr lang="es-ES" sz="2800" b="1">
              <a:solidFill>
                <a:schemeClr val="bg1"/>
              </a:solidFill>
              <a:latin typeface="+mn-lt"/>
            </a:rPr>
            <a:t>Las funciones Y y O</a:t>
          </a:r>
        </a:p>
      </xdr:txBody>
    </xdr:sp>
    <xdr:clientData/>
  </xdr:twoCellAnchor>
  <xdr:twoCellAnchor editAs="absolute">
    <xdr:from>
      <xdr:col>0</xdr:col>
      <xdr:colOff>89729</xdr:colOff>
      <xdr:row>30</xdr:row>
      <xdr:rowOff>164542</xdr:rowOff>
    </xdr:from>
    <xdr:to>
      <xdr:col>8</xdr:col>
      <xdr:colOff>662609</xdr:colOff>
      <xdr:row>35</xdr:row>
      <xdr:rowOff>69021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966AC8E4-5FBE-48B7-B578-C5B1DB1EBF94}"/>
            </a:ext>
          </a:extLst>
        </xdr:cNvPr>
        <xdr:cNvSpPr txBox="1"/>
      </xdr:nvSpPr>
      <xdr:spPr>
        <a:xfrm>
          <a:off x="89729" y="5893346"/>
          <a:ext cx="5583858" cy="87078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l"/>
          <a:r>
            <a:rPr lang="es-ES" sz="2000">
              <a:solidFill>
                <a:srgbClr val="217346"/>
              </a:solidFill>
            </a:rPr>
            <a:t>❶</a:t>
          </a:r>
          <a:r>
            <a:rPr lang="es-ES" sz="1100"/>
            <a:t> </a:t>
          </a:r>
          <a:r>
            <a:rPr lang="es-ES" sz="1100">
              <a:solidFill>
                <a:schemeClr val="tx1"/>
              </a:solidFill>
              <a:latin typeface="+mn-lt"/>
              <a:ea typeface="+mn-ea"/>
              <a:cs typeface="+mn-cs"/>
            </a:rPr>
            <a:t>Anidar una función </a:t>
          </a:r>
          <a:r>
            <a:rPr lang="es-ES" sz="1100" b="1">
              <a:solidFill>
                <a:srgbClr val="217346"/>
              </a:solidFill>
              <a:latin typeface="+mn-lt"/>
              <a:ea typeface="+mn-ea"/>
              <a:cs typeface="+mn-cs"/>
            </a:rPr>
            <a:t>Y</a:t>
          </a:r>
          <a:r>
            <a:rPr lang="es-ES" sz="1100" baseline="0">
              <a:solidFill>
                <a:schemeClr val="tx1"/>
              </a:solidFill>
              <a:latin typeface="+mn-lt"/>
              <a:ea typeface="+mn-ea"/>
              <a:cs typeface="+mn-cs"/>
            </a:rPr>
            <a:t> en el primer argumento de una función </a:t>
          </a:r>
          <a:r>
            <a:rPr lang="es-ES" sz="1100" b="1" baseline="0">
              <a:solidFill>
                <a:srgbClr val="217346"/>
              </a:solidFill>
              <a:latin typeface="+mn-lt"/>
              <a:ea typeface="+mn-ea"/>
              <a:cs typeface="+mn-cs"/>
            </a:rPr>
            <a:t>SI</a:t>
          </a:r>
          <a:r>
            <a:rPr lang="es-ES" sz="1100" baseline="0">
              <a:solidFill>
                <a:schemeClr val="tx1"/>
              </a:solidFill>
              <a:latin typeface="+mn-lt"/>
              <a:ea typeface="+mn-ea"/>
              <a:cs typeface="+mn-cs"/>
            </a:rPr>
            <a:t> para determinar si el proyecto está terminado o no. En caso de estar terminado, que aparezcan las palabras </a:t>
          </a:r>
          <a:r>
            <a:rPr lang="es-ES" sz="1100" b="1" baseline="0">
              <a:solidFill>
                <a:srgbClr val="217346"/>
              </a:solidFill>
              <a:latin typeface="+mn-lt"/>
              <a:ea typeface="+mn-ea"/>
              <a:cs typeface="+mn-cs"/>
            </a:rPr>
            <a:t>Proyecto terminado</a:t>
          </a:r>
          <a:r>
            <a:rPr lang="es-ES" sz="1100" baseline="0">
              <a:solidFill>
                <a:schemeClr val="tx1"/>
              </a:solidFill>
              <a:latin typeface="+mn-lt"/>
              <a:ea typeface="+mn-ea"/>
              <a:cs typeface="+mn-cs"/>
            </a:rPr>
            <a:t>, en caso contrario </a:t>
          </a:r>
          <a:r>
            <a:rPr lang="es-ES" sz="1100" b="1" baseline="0">
              <a:solidFill>
                <a:srgbClr val="217346"/>
              </a:solidFill>
              <a:latin typeface="+mn-lt"/>
              <a:ea typeface="+mn-ea"/>
              <a:cs typeface="+mn-cs"/>
            </a:rPr>
            <a:t>Proyecto no terminado.</a:t>
          </a:r>
          <a:endParaRPr lang="es-ES" sz="1100" b="1">
            <a:solidFill>
              <a:srgbClr val="217346"/>
            </a:solidFill>
          </a:endParaRPr>
        </a:p>
      </xdr:txBody>
    </xdr:sp>
    <xdr:clientData/>
  </xdr:twoCellAnchor>
  <xdr:twoCellAnchor editAs="absolute">
    <xdr:from>
      <xdr:col>1</xdr:col>
      <xdr:colOff>0</xdr:colOff>
      <xdr:row>34</xdr:row>
      <xdr:rowOff>110434</xdr:rowOff>
    </xdr:from>
    <xdr:to>
      <xdr:col>8</xdr:col>
      <xdr:colOff>614294</xdr:colOff>
      <xdr:row>38</xdr:row>
      <xdr:rowOff>172554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9A800501-1508-427E-9C34-7EF75CB647F0}"/>
            </a:ext>
          </a:extLst>
        </xdr:cNvPr>
        <xdr:cNvSpPr txBox="1"/>
      </xdr:nvSpPr>
      <xdr:spPr>
        <a:xfrm>
          <a:off x="117337" y="6612282"/>
          <a:ext cx="5507935" cy="8351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l"/>
          <a:r>
            <a:rPr lang="es-ES" sz="2000">
              <a:solidFill>
                <a:srgbClr val="217346"/>
              </a:solidFill>
            </a:rPr>
            <a:t>❷</a:t>
          </a:r>
          <a:r>
            <a:rPr lang="es-ES" sz="1100"/>
            <a:t> </a:t>
          </a:r>
          <a:r>
            <a:rPr kumimoji="0" lang="es-ES" sz="11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Anidar una función </a:t>
          </a:r>
          <a:r>
            <a:rPr kumimoji="0" lang="es-ES" sz="1100" b="1" i="0" u="none" strike="noStrike" kern="0" cap="none" spc="0" normalizeH="0" baseline="0" noProof="0">
              <a:ln>
                <a:noFill/>
              </a:ln>
              <a:solidFill>
                <a:srgbClr val="217346"/>
              </a:solidFill>
              <a:effectLst/>
              <a:uLnTx/>
              <a:uFillTx/>
              <a:latin typeface="+mn-lt"/>
              <a:ea typeface="+mn-ea"/>
              <a:cs typeface="+mn-cs"/>
            </a:rPr>
            <a:t>O</a:t>
          </a:r>
          <a:r>
            <a:rPr kumimoji="0" lang="es-ES" sz="11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 en el primer argumento de una función </a:t>
          </a:r>
          <a:r>
            <a:rPr kumimoji="0" lang="es-ES" sz="1100" b="1" i="0" u="none" strike="noStrike" kern="0" cap="none" spc="0" normalizeH="0" baseline="0" noProof="0">
              <a:ln>
                <a:noFill/>
              </a:ln>
              <a:solidFill>
                <a:srgbClr val="217346"/>
              </a:solidFill>
              <a:effectLst/>
              <a:uLnTx/>
              <a:uFillTx/>
              <a:latin typeface="+mn-lt"/>
              <a:ea typeface="+mn-ea"/>
              <a:cs typeface="+mn-cs"/>
            </a:rPr>
            <a:t>SI</a:t>
          </a:r>
          <a:r>
            <a:rPr kumimoji="0" lang="es-ES" sz="11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 para determinar si el proyecto está terminado o no. En caso de estar terminado, que aparezcan las palabras </a:t>
          </a:r>
          <a:r>
            <a:rPr kumimoji="0" lang="es-ES" sz="1100" b="1" i="0" u="none" strike="noStrike" kern="0" cap="none" spc="0" normalizeH="0" baseline="0" noProof="0">
              <a:ln>
                <a:noFill/>
              </a:ln>
              <a:solidFill>
                <a:srgbClr val="217346"/>
              </a:solidFill>
              <a:effectLst/>
              <a:uLnTx/>
              <a:uFillTx/>
              <a:latin typeface="+mn-lt"/>
              <a:ea typeface="+mn-ea"/>
              <a:cs typeface="+mn-cs"/>
            </a:rPr>
            <a:t>Proyecto terminado</a:t>
          </a:r>
          <a:r>
            <a:rPr kumimoji="0" lang="es-ES" sz="11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, en caso contrario </a:t>
          </a:r>
          <a:r>
            <a:rPr kumimoji="0" lang="es-ES" sz="1100" b="1" i="0" u="none" strike="noStrike" kern="0" cap="none" spc="0" normalizeH="0" baseline="0" noProof="0">
              <a:ln>
                <a:noFill/>
              </a:ln>
              <a:solidFill>
                <a:srgbClr val="217346"/>
              </a:solidFill>
              <a:effectLst/>
              <a:uLnTx/>
              <a:uFillTx/>
              <a:latin typeface="+mn-lt"/>
              <a:ea typeface="+mn-ea"/>
              <a:cs typeface="+mn-cs"/>
            </a:rPr>
            <a:t>Proyecto no terminado.</a:t>
          </a:r>
          <a:endParaRPr lang="es-ES" sz="1100"/>
        </a:p>
      </xdr:txBody>
    </xdr:sp>
    <xdr:clientData/>
  </xdr:twoCellAnchor>
  <xdr:twoCellAnchor editAs="absolute">
    <xdr:from>
      <xdr:col>1</xdr:col>
      <xdr:colOff>0</xdr:colOff>
      <xdr:row>5</xdr:row>
      <xdr:rowOff>0</xdr:rowOff>
    </xdr:from>
    <xdr:to>
      <xdr:col>6</xdr:col>
      <xdr:colOff>0</xdr:colOff>
      <xdr:row>26</xdr:row>
      <xdr:rowOff>66674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2E1B4045-FA1F-4671-8A0D-5139904C8978}"/>
            </a:ext>
          </a:extLst>
        </xdr:cNvPr>
        <xdr:cNvGrpSpPr/>
      </xdr:nvGrpSpPr>
      <xdr:grpSpPr>
        <a:xfrm>
          <a:off x="114300" y="853440"/>
          <a:ext cx="3962400" cy="3907154"/>
          <a:chOff x="117337" y="897283"/>
          <a:chExt cx="3796196" cy="4127739"/>
        </a:xfrm>
      </xdr:grpSpPr>
      <xdr:sp macro="" textlink="">
        <xdr:nvSpPr>
          <xdr:cNvPr id="6" name="CuadroTexto 5">
            <a:extLst>
              <a:ext uri="{FF2B5EF4-FFF2-40B4-BE49-F238E27FC236}">
                <a16:creationId xmlns:a16="http://schemas.microsoft.com/office/drawing/2014/main" id="{7683686D-CC11-46B0-8A10-7AA8BE9A8259}"/>
              </a:ext>
            </a:extLst>
          </xdr:cNvPr>
          <xdr:cNvSpPr txBox="1"/>
        </xdr:nvSpPr>
        <xdr:spPr>
          <a:xfrm>
            <a:off x="117337" y="1283803"/>
            <a:ext cx="3796196" cy="3741219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s-ES" sz="1100">
                <a:solidFill>
                  <a:schemeClr val="tx1"/>
                </a:solidFill>
                <a:latin typeface="+mn-lt"/>
                <a:ea typeface="+mn-ea"/>
                <a:cs typeface="+mn-cs"/>
              </a:rPr>
              <a:t>La función </a:t>
            </a:r>
            <a:r>
              <a:rPr lang="es-ES" sz="1100">
                <a:solidFill>
                  <a:srgbClr val="217346"/>
                </a:solidFill>
                <a:latin typeface="+mn-lt"/>
                <a:ea typeface="+mn-ea"/>
                <a:cs typeface="+mn-cs"/>
              </a:rPr>
              <a:t>Y</a:t>
            </a:r>
            <a:r>
              <a:rPr lang="es-ES" sz="1100" baseline="0">
                <a:solidFill>
                  <a:schemeClr val="tx1"/>
                </a:solidFill>
                <a:latin typeface="+mn-lt"/>
                <a:ea typeface="+mn-ea"/>
                <a:cs typeface="+mn-cs"/>
              </a:rPr>
              <a:t> tiene como misión devolver un valor </a:t>
            </a:r>
            <a:r>
              <a:rPr lang="es-ES" sz="1100" b="1" baseline="0">
                <a:solidFill>
                  <a:srgbClr val="217346"/>
                </a:solidFill>
                <a:latin typeface="+mn-lt"/>
                <a:ea typeface="+mn-ea"/>
                <a:cs typeface="+mn-cs"/>
              </a:rPr>
              <a:t>VERDADERO</a:t>
            </a:r>
            <a:r>
              <a:rPr lang="es-ES" sz="1100" baseline="0">
                <a:solidFill>
                  <a:schemeClr val="tx1"/>
                </a:solidFill>
                <a:latin typeface="+mn-lt"/>
                <a:ea typeface="+mn-ea"/>
                <a:cs typeface="+mn-cs"/>
              </a:rPr>
              <a:t> o </a:t>
            </a:r>
            <a:r>
              <a:rPr lang="es-ES" sz="1100" b="1" baseline="0">
                <a:solidFill>
                  <a:srgbClr val="217346"/>
                </a:solidFill>
                <a:latin typeface="+mn-lt"/>
                <a:ea typeface="+mn-ea"/>
                <a:cs typeface="+mn-cs"/>
              </a:rPr>
              <a:t>FALSO</a:t>
            </a:r>
            <a:r>
              <a:rPr lang="es-ES" sz="1100" baseline="0">
                <a:solidFill>
                  <a:schemeClr val="tx1"/>
                </a:solidFill>
                <a:latin typeface="+mn-lt"/>
                <a:ea typeface="+mn-ea"/>
                <a:cs typeface="+mn-cs"/>
              </a:rPr>
              <a:t>, dependiendo de si las pruebas lógicas que se escriben en sus argumentos son todas verdad o no, respectivamente. </a:t>
            </a:r>
          </a:p>
          <a:p>
            <a:endParaRPr lang="es-ES" sz="1100" baseline="0">
              <a:solidFill>
                <a:schemeClr val="tx1"/>
              </a:solidFill>
              <a:latin typeface="+mn-lt"/>
              <a:ea typeface="+mn-ea"/>
              <a:cs typeface="+mn-cs"/>
            </a:endParaRPr>
          </a:p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s-E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La sintaxis</a:t>
            </a:r>
            <a:r>
              <a:rPr lang="es-ES" sz="1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de la función </a:t>
            </a:r>
            <a:r>
              <a:rPr lang="es-ES" sz="1100" b="1" baseline="0">
                <a:solidFill>
                  <a:srgbClr val="217346"/>
                </a:solidFill>
                <a:effectLst/>
                <a:latin typeface="+mn-lt"/>
                <a:ea typeface="+mn-ea"/>
                <a:cs typeface="+mn-cs"/>
              </a:rPr>
              <a:t>Y</a:t>
            </a:r>
            <a:r>
              <a:rPr lang="es-ES" sz="1100" b="1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es-ES" sz="1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es:</a:t>
            </a:r>
            <a:endParaRPr lang="es-ES" sz="1100" baseline="0">
              <a:solidFill>
                <a:schemeClr val="tx1"/>
              </a:solidFill>
              <a:latin typeface="+mn-lt"/>
              <a:ea typeface="+mn-ea"/>
              <a:cs typeface="+mn-cs"/>
            </a:endParaRPr>
          </a:p>
          <a:p>
            <a:endParaRPr lang="es-ES" sz="1100" baseline="0">
              <a:solidFill>
                <a:schemeClr val="tx1"/>
              </a:solidFill>
              <a:latin typeface="+mn-lt"/>
              <a:ea typeface="+mn-ea"/>
              <a:cs typeface="+mn-cs"/>
            </a:endParaRPr>
          </a:p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s-ES" sz="1100" b="1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=Y(</a:t>
            </a:r>
            <a:r>
              <a:rPr kumimoji="0" lang="es-ES" sz="1100" b="1" i="0" u="none" strike="noStrike" kern="0" cap="none" spc="0" normalizeH="0" baseline="0" noProof="0">
                <a:ln>
                  <a:noFill/>
                </a:ln>
                <a:solidFill>
                  <a:prstClr val="white">
                    <a:lumMod val="75000"/>
                  </a:prstClr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 </a:t>
            </a:r>
            <a:r>
              <a:rPr kumimoji="0" lang="es-ES" sz="1100" b="0" i="0" u="none" strike="noStrike" kern="0" cap="none" spc="0" normalizeH="0" baseline="0" noProof="0">
                <a:ln>
                  <a:noFill/>
                </a:ln>
                <a:solidFill>
                  <a:srgbClr val="217346"/>
                </a:solidFill>
                <a:effectLst/>
                <a:uLnTx/>
                <a:uFillTx/>
                <a:latin typeface="Calibri Light" panose="020F0302020204030204"/>
                <a:ea typeface="+mn-ea"/>
                <a:cs typeface="+mn-cs"/>
              </a:rPr>
              <a:t>prueba lógica </a:t>
            </a:r>
            <a:r>
              <a:rPr kumimoji="0" lang="es-ES" sz="1100" b="1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;</a:t>
            </a:r>
            <a:r>
              <a:rPr kumimoji="0" lang="es-ES" sz="11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 </a:t>
            </a:r>
            <a:r>
              <a:rPr kumimoji="0" lang="es-ES" sz="1100" b="0" i="0" u="none" strike="noStrike" kern="0" cap="none" spc="0" normalizeH="0" baseline="0" noProof="0">
                <a:ln>
                  <a:noFill/>
                </a:ln>
                <a:solidFill>
                  <a:srgbClr val="217346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[</a:t>
            </a:r>
            <a:r>
              <a:rPr kumimoji="0" lang="es-ES" sz="1100" b="0" i="0" u="none" strike="noStrike" kern="0" cap="none" spc="0" normalizeH="0" baseline="0" noProof="0">
                <a:ln>
                  <a:noFill/>
                </a:ln>
                <a:solidFill>
                  <a:srgbClr val="217346"/>
                </a:solidFill>
                <a:effectLst/>
                <a:uLnTx/>
                <a:uFillTx/>
                <a:latin typeface="Calibri Light" panose="020F0302020204030204"/>
                <a:ea typeface="+mn-ea"/>
                <a:cs typeface="+mn-cs"/>
              </a:rPr>
              <a:t>prueba lógica ] </a:t>
            </a:r>
            <a:r>
              <a:rPr kumimoji="0" lang="es-ES" sz="1100" b="1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; </a:t>
            </a:r>
            <a:r>
              <a:rPr kumimoji="0" lang="es-ES" sz="1100" b="0" i="0" u="none" strike="noStrike" kern="0" cap="none" spc="0" normalizeH="0" baseline="0" noProof="0">
                <a:ln>
                  <a:noFill/>
                </a:ln>
                <a:solidFill>
                  <a:srgbClr val="217346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[</a:t>
            </a:r>
            <a:r>
              <a:rPr kumimoji="0" lang="es-ES" sz="1100" b="0" i="0" u="none" strike="noStrike" kern="0" cap="none" spc="0" normalizeH="0" baseline="0" noProof="0">
                <a:ln>
                  <a:noFill/>
                </a:ln>
                <a:solidFill>
                  <a:srgbClr val="217346"/>
                </a:solidFill>
                <a:effectLst/>
                <a:uLnTx/>
                <a:uFillTx/>
                <a:latin typeface="Calibri Light" panose="020F0302020204030204"/>
                <a:ea typeface="+mn-ea"/>
                <a:cs typeface="+mn-cs"/>
              </a:rPr>
              <a:t>prueba lógica ]</a:t>
            </a:r>
            <a:r>
              <a:rPr kumimoji="0" lang="es-ES" sz="1100" b="1" i="0" u="none" strike="noStrike" kern="0" cap="none" spc="0" normalizeH="0" baseline="0" noProof="0">
                <a:ln>
                  <a:noFill/>
                </a:ln>
                <a:solidFill>
                  <a:schemeClr val="tx1"/>
                </a:solidFill>
                <a:effectLst/>
                <a:uLnTx/>
                <a:uFillTx/>
                <a:latin typeface="Calibri Light" panose="020F0302020204030204"/>
                <a:ea typeface="+mn-ea"/>
                <a:cs typeface="+mn-cs"/>
              </a:rPr>
              <a:t>;... </a:t>
            </a:r>
            <a:r>
              <a:rPr kumimoji="0" lang="es-ES" sz="1100" b="1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)</a:t>
            </a:r>
          </a:p>
          <a:p>
            <a:endParaRPr lang="es-ES" sz="1100" baseline="0">
              <a:solidFill>
                <a:schemeClr val="tx1"/>
              </a:solidFill>
              <a:latin typeface="+mn-lt"/>
              <a:ea typeface="+mn-ea"/>
              <a:cs typeface="+mn-cs"/>
            </a:endParaRPr>
          </a:p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s-ES" sz="11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La función </a:t>
            </a:r>
            <a:r>
              <a:rPr kumimoji="0" lang="es-ES" sz="1100" b="1" i="0" u="none" strike="noStrike" kern="0" cap="none" spc="0" normalizeH="0" baseline="0" noProof="0">
                <a:ln>
                  <a:noFill/>
                </a:ln>
                <a:solidFill>
                  <a:srgbClr val="217346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O</a:t>
            </a:r>
            <a:r>
              <a:rPr kumimoji="0" lang="es-ES" sz="11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 tiene como misión devolver un valor </a:t>
            </a:r>
            <a:r>
              <a:rPr kumimoji="0" lang="es-ES" sz="1100" b="1" i="0" u="none" strike="noStrike" kern="0" cap="none" spc="0" normalizeH="0" baseline="0" noProof="0">
                <a:ln>
                  <a:noFill/>
                </a:ln>
                <a:solidFill>
                  <a:srgbClr val="217346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VERDADERO</a:t>
            </a:r>
            <a:r>
              <a:rPr kumimoji="0" lang="es-ES" sz="11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 o </a:t>
            </a:r>
            <a:r>
              <a:rPr kumimoji="0" lang="es-ES" sz="1100" b="1" i="0" u="none" strike="noStrike" kern="0" cap="none" spc="0" normalizeH="0" baseline="0" noProof="0">
                <a:ln>
                  <a:noFill/>
                </a:ln>
                <a:solidFill>
                  <a:srgbClr val="217346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FALSO</a:t>
            </a:r>
            <a:r>
              <a:rPr kumimoji="0" lang="es-ES" sz="11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, dependiendo de si alguna de las pruebas lógicas que se escriben en sus argumentos es verdad o no, respectivamente. </a:t>
            </a:r>
          </a:p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es-ES" sz="11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endParaRPr>
          </a:p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s-E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La sintaxis</a:t>
            </a:r>
            <a:r>
              <a:rPr lang="es-ES" sz="1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de la función </a:t>
            </a:r>
            <a:r>
              <a:rPr lang="en-US" sz="1100" b="1">
                <a:solidFill>
                  <a:srgbClr val="217346"/>
                </a:solidFill>
                <a:effectLst/>
                <a:latin typeface="+mn-lt"/>
                <a:ea typeface="+mn-ea"/>
                <a:cs typeface="+mn-cs"/>
              </a:rPr>
              <a:t>O</a:t>
            </a:r>
            <a:r>
              <a:rPr lang="es-ES" sz="1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es:</a:t>
            </a:r>
            <a:endParaRPr lang="es-ES">
              <a:effectLst/>
            </a:endParaRPr>
          </a:p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es-ES" sz="11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endParaRPr>
          </a:p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s-ES" sz="1100" b="1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=O(</a:t>
            </a:r>
            <a:r>
              <a:rPr kumimoji="0" lang="es-ES" sz="1100" b="1" i="0" u="none" strike="noStrike" kern="0" cap="none" spc="0" normalizeH="0" baseline="0" noProof="0">
                <a:ln>
                  <a:noFill/>
                </a:ln>
                <a:solidFill>
                  <a:prstClr val="white">
                    <a:lumMod val="75000"/>
                  </a:prstClr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 </a:t>
            </a:r>
            <a:r>
              <a:rPr kumimoji="0" lang="es-ES" sz="1100" b="0" i="0" u="none" strike="noStrike" kern="0" cap="none" spc="0" normalizeH="0" baseline="0" noProof="0">
                <a:ln>
                  <a:noFill/>
                </a:ln>
                <a:solidFill>
                  <a:srgbClr val="217346"/>
                </a:solidFill>
                <a:effectLst/>
                <a:uLnTx/>
                <a:uFillTx/>
                <a:latin typeface="Calibri Light" panose="020F0302020204030204"/>
                <a:ea typeface="+mn-ea"/>
                <a:cs typeface="+mn-cs"/>
              </a:rPr>
              <a:t>prueba lógica </a:t>
            </a:r>
            <a:r>
              <a:rPr kumimoji="0" lang="es-ES" sz="1100" b="1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;</a:t>
            </a:r>
            <a:r>
              <a:rPr kumimoji="0" lang="es-ES" sz="11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 </a:t>
            </a:r>
            <a:r>
              <a:rPr kumimoji="0" lang="es-ES" sz="1100" b="0" i="0" u="none" strike="noStrike" kern="0" cap="none" spc="0" normalizeH="0" baseline="0" noProof="0">
                <a:ln>
                  <a:noFill/>
                </a:ln>
                <a:solidFill>
                  <a:srgbClr val="217346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[</a:t>
            </a:r>
            <a:r>
              <a:rPr kumimoji="0" lang="es-ES" sz="1100" b="0" i="0" u="none" strike="noStrike" kern="0" cap="none" spc="0" normalizeH="0" baseline="0" noProof="0">
                <a:ln>
                  <a:noFill/>
                </a:ln>
                <a:solidFill>
                  <a:srgbClr val="217346"/>
                </a:solidFill>
                <a:effectLst/>
                <a:uLnTx/>
                <a:uFillTx/>
                <a:latin typeface="Calibri Light" panose="020F0302020204030204"/>
                <a:ea typeface="+mn-ea"/>
                <a:cs typeface="+mn-cs"/>
              </a:rPr>
              <a:t>prueba lógica ] </a:t>
            </a:r>
            <a:r>
              <a:rPr kumimoji="0" lang="es-ES" sz="1100" b="1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; </a:t>
            </a:r>
            <a:r>
              <a:rPr kumimoji="0" lang="es-ES" sz="1100" b="0" i="0" u="none" strike="noStrike" kern="0" cap="none" spc="0" normalizeH="0" baseline="0" noProof="0">
                <a:ln>
                  <a:noFill/>
                </a:ln>
                <a:solidFill>
                  <a:srgbClr val="217346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[</a:t>
            </a:r>
            <a:r>
              <a:rPr kumimoji="0" lang="es-ES" sz="1100" b="0" i="0" u="none" strike="noStrike" kern="0" cap="none" spc="0" normalizeH="0" baseline="0" noProof="0">
                <a:ln>
                  <a:noFill/>
                </a:ln>
                <a:solidFill>
                  <a:srgbClr val="217346"/>
                </a:solidFill>
                <a:effectLst/>
                <a:uLnTx/>
                <a:uFillTx/>
                <a:latin typeface="Calibri Light" panose="020F0302020204030204"/>
                <a:ea typeface="+mn-ea"/>
                <a:cs typeface="+mn-cs"/>
              </a:rPr>
              <a:t>prueba lógica ]</a:t>
            </a:r>
            <a:r>
              <a:rPr kumimoji="0" lang="es-ES" sz="1100" b="1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Calibri Light" panose="020F0302020204030204"/>
                <a:ea typeface="+mn-ea"/>
                <a:cs typeface="+mn-cs"/>
              </a:rPr>
              <a:t>;... </a:t>
            </a:r>
            <a:r>
              <a:rPr kumimoji="0" lang="es-ES" sz="1100" b="1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)</a:t>
            </a:r>
          </a:p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es-ES" sz="11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endParaRPr>
          </a:p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s-ES" sz="11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Estas funciones se utilizan para apoyar a otras funciones devolviendo un valor </a:t>
            </a:r>
            <a:r>
              <a:rPr kumimoji="0" lang="es-ES" sz="1100" b="1" i="0" u="none" strike="noStrike" kern="0" cap="none" spc="0" normalizeH="0" baseline="0" noProof="0">
                <a:ln>
                  <a:noFill/>
                </a:ln>
                <a:solidFill>
                  <a:srgbClr val="217346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VERDADERO</a:t>
            </a:r>
            <a:r>
              <a:rPr kumimoji="0" lang="es-ES" sz="11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 o </a:t>
            </a:r>
            <a:r>
              <a:rPr kumimoji="0" lang="es-ES" sz="1100" b="1" i="0" u="none" strike="noStrike" kern="0" cap="none" spc="0" normalizeH="0" baseline="0" noProof="0">
                <a:ln>
                  <a:noFill/>
                </a:ln>
                <a:solidFill>
                  <a:srgbClr val="217346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FALSO</a:t>
            </a:r>
            <a:r>
              <a:rPr kumimoji="0" lang="es-ES" sz="11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.</a:t>
            </a:r>
          </a:p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es-ES" sz="11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endParaRPr>
          </a:p>
          <a:p>
            <a:endParaRPr lang="es-ES" sz="1100" baseline="0">
              <a:solidFill>
                <a:schemeClr val="tx1"/>
              </a:solidFill>
              <a:latin typeface="+mn-lt"/>
              <a:ea typeface="+mn-ea"/>
              <a:cs typeface="+mn-cs"/>
            </a:endParaRPr>
          </a:p>
          <a:p>
            <a:endParaRPr lang="es-ES" sz="1100" baseline="0">
              <a:solidFill>
                <a:schemeClr val="tx1"/>
              </a:solidFill>
              <a:latin typeface="+mn-lt"/>
              <a:ea typeface="+mn-ea"/>
              <a:cs typeface="+mn-cs"/>
            </a:endParaRPr>
          </a:p>
          <a:p>
            <a:endParaRPr lang="es-ES" sz="1100" baseline="0">
              <a:solidFill>
                <a:schemeClr val="tx1"/>
              </a:solidFill>
              <a:latin typeface="+mn-lt"/>
              <a:ea typeface="+mn-ea"/>
              <a:cs typeface="+mn-cs"/>
            </a:endParaRPr>
          </a:p>
          <a:p>
            <a:endParaRPr lang="es-ES" sz="1100" baseline="0">
              <a:solidFill>
                <a:schemeClr val="tx1"/>
              </a:solidFill>
              <a:latin typeface="+mn-lt"/>
              <a:ea typeface="+mn-ea"/>
              <a:cs typeface="+mn-cs"/>
            </a:endParaRPr>
          </a:p>
          <a:p>
            <a:endParaRPr lang="es-ES" sz="1100" baseline="0">
              <a:solidFill>
                <a:schemeClr val="tx1"/>
              </a:solidFill>
              <a:latin typeface="+mn-lt"/>
              <a:ea typeface="+mn-ea"/>
              <a:cs typeface="+mn-cs"/>
            </a:endParaRPr>
          </a:p>
          <a:p>
            <a:endParaRPr lang="es-ES" sz="1100" baseline="0">
              <a:solidFill>
                <a:schemeClr val="tx1"/>
              </a:solidFill>
              <a:latin typeface="+mn-lt"/>
              <a:ea typeface="+mn-ea"/>
              <a:cs typeface="+mn-cs"/>
            </a:endParaRPr>
          </a:p>
          <a:p>
            <a:endParaRPr lang="es-ES" sz="1100" baseline="0">
              <a:solidFill>
                <a:schemeClr val="tx1"/>
              </a:solidFill>
              <a:latin typeface="+mn-lt"/>
              <a:ea typeface="+mn-ea"/>
              <a:cs typeface="+mn-cs"/>
            </a:endParaRPr>
          </a:p>
          <a:p>
            <a:endParaRPr lang="es-ES" sz="1100"/>
          </a:p>
        </xdr:txBody>
      </xdr:sp>
      <xdr:sp macro="" textlink="">
        <xdr:nvSpPr>
          <xdr:cNvPr id="7" name="CuadroTexto 6">
            <a:extLst>
              <a:ext uri="{FF2B5EF4-FFF2-40B4-BE49-F238E27FC236}">
                <a16:creationId xmlns:a16="http://schemas.microsoft.com/office/drawing/2014/main" id="{A25A91B6-1C6A-4D73-A82F-E5CDC01EDFC3}"/>
              </a:ext>
            </a:extLst>
          </xdr:cNvPr>
          <xdr:cNvSpPr txBox="1"/>
        </xdr:nvSpPr>
        <xdr:spPr>
          <a:xfrm>
            <a:off x="117337" y="897283"/>
            <a:ext cx="3796196" cy="392042"/>
          </a:xfrm>
          <a:prstGeom prst="rect">
            <a:avLst/>
          </a:prstGeom>
          <a:solidFill>
            <a:schemeClr val="bg1">
              <a:lumMod val="85000"/>
            </a:schemeClr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r>
              <a:rPr lang="es-ES" sz="1600" b="1">
                <a:solidFill>
                  <a:srgbClr val="217346"/>
                </a:solidFill>
                <a:latin typeface="+mn-lt"/>
              </a:rPr>
              <a:t>        ¿Qué</a:t>
            </a:r>
            <a:r>
              <a:rPr lang="es-ES" sz="1600" b="1" baseline="0">
                <a:solidFill>
                  <a:srgbClr val="217346"/>
                </a:solidFill>
                <a:latin typeface="+mn-lt"/>
              </a:rPr>
              <a:t> son?</a:t>
            </a:r>
            <a:endParaRPr lang="es-ES" sz="1600" b="1">
              <a:solidFill>
                <a:srgbClr val="217346"/>
              </a:solidFill>
              <a:latin typeface="+mn-lt"/>
            </a:endParaRPr>
          </a:p>
        </xdr:txBody>
      </xdr:sp>
      <xdr:pic>
        <xdr:nvPicPr>
          <xdr:cNvPr id="8" name="Gráfico 7" descr="Libros">
            <a:extLst>
              <a:ext uri="{FF2B5EF4-FFF2-40B4-BE49-F238E27FC236}">
                <a16:creationId xmlns:a16="http://schemas.microsoft.com/office/drawing/2014/main" id="{0D309CC5-25FA-45BC-8BEE-BBBD3F2F921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6360" y="931794"/>
            <a:ext cx="312530" cy="312530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0</xdr:colOff>
      <xdr:row>5</xdr:row>
      <xdr:rowOff>0</xdr:rowOff>
    </xdr:from>
    <xdr:to>
      <xdr:col>16</xdr:col>
      <xdr:colOff>194642</xdr:colOff>
      <xdr:row>7</xdr:row>
      <xdr:rowOff>5521</xdr:rowOff>
    </xdr:to>
    <xdr:grpSp>
      <xdr:nvGrpSpPr>
        <xdr:cNvPr id="9" name="Grupo 8">
          <a:extLst>
            <a:ext uri="{FF2B5EF4-FFF2-40B4-BE49-F238E27FC236}">
              <a16:creationId xmlns:a16="http://schemas.microsoft.com/office/drawing/2014/main" id="{B5E02CA0-74D1-4E3B-961F-99415CA1B496}"/>
            </a:ext>
          </a:extLst>
        </xdr:cNvPr>
        <xdr:cNvGrpSpPr/>
      </xdr:nvGrpSpPr>
      <xdr:grpSpPr>
        <a:xfrm>
          <a:off x="4191000" y="853440"/>
          <a:ext cx="8546162" cy="371281"/>
          <a:chOff x="4030870" y="897283"/>
          <a:chExt cx="8255000" cy="392042"/>
        </a:xfrm>
      </xdr:grpSpPr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373CE086-6772-4869-9045-D381AFC906EE}"/>
              </a:ext>
            </a:extLst>
          </xdr:cNvPr>
          <xdr:cNvSpPr txBox="1"/>
        </xdr:nvSpPr>
        <xdr:spPr>
          <a:xfrm>
            <a:off x="4030870" y="897283"/>
            <a:ext cx="8255000" cy="392042"/>
          </a:xfrm>
          <a:prstGeom prst="rect">
            <a:avLst/>
          </a:prstGeom>
          <a:solidFill>
            <a:schemeClr val="bg1">
              <a:lumMod val="85000"/>
            </a:schemeClr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r>
              <a:rPr lang="es-ES" sz="1600" b="1">
                <a:solidFill>
                  <a:srgbClr val="217346"/>
                </a:solidFill>
                <a:latin typeface="+mn-lt"/>
              </a:rPr>
              <a:t>        Ejemplo: construir un indicador que determine si un proyecto está terminado</a:t>
            </a:r>
          </a:p>
        </xdr:txBody>
      </xdr:sp>
      <xdr:grpSp>
        <xdr:nvGrpSpPr>
          <xdr:cNvPr id="11" name="Gráfico 99" descr="Maestro">
            <a:extLst>
              <a:ext uri="{FF2B5EF4-FFF2-40B4-BE49-F238E27FC236}">
                <a16:creationId xmlns:a16="http://schemas.microsoft.com/office/drawing/2014/main" id="{0A50AF60-D279-438D-B51E-0BBAFE0FE954}"/>
              </a:ext>
            </a:extLst>
          </xdr:cNvPr>
          <xdr:cNvGrpSpPr/>
        </xdr:nvGrpSpPr>
        <xdr:grpSpPr>
          <a:xfrm>
            <a:off x="4065381" y="917989"/>
            <a:ext cx="348422" cy="348422"/>
            <a:chOff x="4030870" y="3602935"/>
            <a:chExt cx="914400" cy="914400"/>
          </a:xfrm>
          <a:solidFill>
            <a:srgbClr val="217346"/>
          </a:solidFill>
        </xdr:grpSpPr>
        <xdr:sp macro="" textlink="">
          <xdr:nvSpPr>
            <xdr:cNvPr id="12" name="Forma libre: forma 11">
              <a:extLst>
                <a:ext uri="{FF2B5EF4-FFF2-40B4-BE49-F238E27FC236}">
                  <a16:creationId xmlns:a16="http://schemas.microsoft.com/office/drawing/2014/main" id="{4FC9FA63-18DA-4761-8E6D-557E389CE834}"/>
                </a:ext>
              </a:extLst>
            </xdr:cNvPr>
            <xdr:cNvSpPr/>
          </xdr:nvSpPr>
          <xdr:spPr>
            <a:xfrm>
              <a:off x="4212321" y="3776766"/>
              <a:ext cx="695325" cy="485775"/>
            </a:xfrm>
            <a:custGeom>
              <a:avLst/>
              <a:gdLst>
                <a:gd name="connsiteX0" fmla="*/ 654844 w 695325"/>
                <a:gd name="connsiteY0" fmla="*/ 7144 h 485775"/>
                <a:gd name="connsiteX1" fmla="*/ 45244 w 695325"/>
                <a:gd name="connsiteY1" fmla="*/ 7144 h 485775"/>
                <a:gd name="connsiteX2" fmla="*/ 7144 w 695325"/>
                <a:gd name="connsiteY2" fmla="*/ 45244 h 485775"/>
                <a:gd name="connsiteX3" fmla="*/ 7144 w 695325"/>
                <a:gd name="connsiteY3" fmla="*/ 183356 h 485775"/>
                <a:gd name="connsiteX4" fmla="*/ 41434 w 695325"/>
                <a:gd name="connsiteY4" fmla="*/ 178594 h 485775"/>
                <a:gd name="connsiteX5" fmla="*/ 64294 w 695325"/>
                <a:gd name="connsiteY5" fmla="*/ 180499 h 485775"/>
                <a:gd name="connsiteX6" fmla="*/ 64294 w 695325"/>
                <a:gd name="connsiteY6" fmla="*/ 64294 h 485775"/>
                <a:gd name="connsiteX7" fmla="*/ 635794 w 695325"/>
                <a:gd name="connsiteY7" fmla="*/ 64294 h 485775"/>
                <a:gd name="connsiteX8" fmla="*/ 635794 w 695325"/>
                <a:gd name="connsiteY8" fmla="*/ 426244 h 485775"/>
                <a:gd name="connsiteX9" fmla="*/ 312896 w 695325"/>
                <a:gd name="connsiteY9" fmla="*/ 426244 h 485775"/>
                <a:gd name="connsiteX10" fmla="*/ 258604 w 695325"/>
                <a:gd name="connsiteY10" fmla="*/ 483394 h 485775"/>
                <a:gd name="connsiteX11" fmla="*/ 654844 w 695325"/>
                <a:gd name="connsiteY11" fmla="*/ 483394 h 485775"/>
                <a:gd name="connsiteX12" fmla="*/ 692944 w 695325"/>
                <a:gd name="connsiteY12" fmla="*/ 445294 h 485775"/>
                <a:gd name="connsiteX13" fmla="*/ 692944 w 695325"/>
                <a:gd name="connsiteY13" fmla="*/ 45244 h 485775"/>
                <a:gd name="connsiteX14" fmla="*/ 654844 w 695325"/>
                <a:gd name="connsiteY14" fmla="*/ 7144 h 48577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</a:cxnLst>
              <a:rect l="l" t="t" r="r" b="b"/>
              <a:pathLst>
                <a:path w="695325" h="485775">
                  <a:moveTo>
                    <a:pt x="654844" y="7144"/>
                  </a:moveTo>
                  <a:lnTo>
                    <a:pt x="45244" y="7144"/>
                  </a:lnTo>
                  <a:cubicBezTo>
                    <a:pt x="24289" y="7144"/>
                    <a:pt x="7144" y="24289"/>
                    <a:pt x="7144" y="45244"/>
                  </a:cubicBezTo>
                  <a:lnTo>
                    <a:pt x="7144" y="183356"/>
                  </a:lnTo>
                  <a:cubicBezTo>
                    <a:pt x="17621" y="180499"/>
                    <a:pt x="30004" y="178594"/>
                    <a:pt x="41434" y="178594"/>
                  </a:cubicBezTo>
                  <a:cubicBezTo>
                    <a:pt x="49054" y="178594"/>
                    <a:pt x="56674" y="179546"/>
                    <a:pt x="64294" y="180499"/>
                  </a:cubicBezTo>
                  <a:lnTo>
                    <a:pt x="64294" y="64294"/>
                  </a:lnTo>
                  <a:lnTo>
                    <a:pt x="635794" y="64294"/>
                  </a:lnTo>
                  <a:lnTo>
                    <a:pt x="635794" y="426244"/>
                  </a:lnTo>
                  <a:lnTo>
                    <a:pt x="312896" y="426244"/>
                  </a:lnTo>
                  <a:lnTo>
                    <a:pt x="258604" y="483394"/>
                  </a:lnTo>
                  <a:lnTo>
                    <a:pt x="654844" y="483394"/>
                  </a:lnTo>
                  <a:cubicBezTo>
                    <a:pt x="675799" y="483394"/>
                    <a:pt x="692944" y="466249"/>
                    <a:pt x="692944" y="445294"/>
                  </a:cubicBezTo>
                  <a:lnTo>
                    <a:pt x="692944" y="45244"/>
                  </a:lnTo>
                  <a:cubicBezTo>
                    <a:pt x="692944" y="24289"/>
                    <a:pt x="675799" y="7144"/>
                    <a:pt x="654844" y="7144"/>
                  </a:cubicBezTo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es-ES"/>
            </a:p>
          </xdr:txBody>
        </xdr:sp>
        <xdr:sp macro="" textlink="">
          <xdr:nvSpPr>
            <xdr:cNvPr id="13" name="Forma libre: forma 12">
              <a:extLst>
                <a:ext uri="{FF2B5EF4-FFF2-40B4-BE49-F238E27FC236}">
                  <a16:creationId xmlns:a16="http://schemas.microsoft.com/office/drawing/2014/main" id="{1EECD8D3-C1C6-4C0B-826B-939C1FFBA274}"/>
                </a:ext>
              </a:extLst>
            </xdr:cNvPr>
            <xdr:cNvSpPr/>
          </xdr:nvSpPr>
          <xdr:spPr>
            <a:xfrm>
              <a:off x="4166583" y="3986316"/>
              <a:ext cx="171450" cy="171450"/>
            </a:xfrm>
            <a:custGeom>
              <a:avLst/>
              <a:gdLst>
                <a:gd name="connsiteX0" fmla="*/ 88124 w 171450"/>
                <a:gd name="connsiteY0" fmla="*/ 169069 h 171450"/>
                <a:gd name="connsiteX1" fmla="*/ 169087 w 171450"/>
                <a:gd name="connsiteY1" fmla="*/ 88106 h 171450"/>
                <a:gd name="connsiteX2" fmla="*/ 88124 w 171450"/>
                <a:gd name="connsiteY2" fmla="*/ 7144 h 171450"/>
                <a:gd name="connsiteX3" fmla="*/ 7162 w 171450"/>
                <a:gd name="connsiteY3" fmla="*/ 88106 h 171450"/>
                <a:gd name="connsiteX4" fmla="*/ 88124 w 171450"/>
                <a:gd name="connsiteY4" fmla="*/ 169069 h 17145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171450" h="171450">
                  <a:moveTo>
                    <a:pt x="88124" y="169069"/>
                  </a:moveTo>
                  <a:cubicBezTo>
                    <a:pt x="132892" y="169069"/>
                    <a:pt x="169087" y="132874"/>
                    <a:pt x="169087" y="88106"/>
                  </a:cubicBezTo>
                  <a:cubicBezTo>
                    <a:pt x="169087" y="43339"/>
                    <a:pt x="132892" y="7144"/>
                    <a:pt x="88124" y="7144"/>
                  </a:cubicBezTo>
                  <a:cubicBezTo>
                    <a:pt x="43357" y="7144"/>
                    <a:pt x="7162" y="43339"/>
                    <a:pt x="7162" y="88106"/>
                  </a:cubicBezTo>
                  <a:cubicBezTo>
                    <a:pt x="6209" y="132874"/>
                    <a:pt x="43357" y="169069"/>
                    <a:pt x="88124" y="169069"/>
                  </a:cubicBezTo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es-ES"/>
            </a:p>
          </xdr:txBody>
        </xdr:sp>
        <xdr:sp macro="" textlink="">
          <xdr:nvSpPr>
            <xdr:cNvPr id="14" name="Forma libre: forma 13">
              <a:extLst>
                <a:ext uri="{FF2B5EF4-FFF2-40B4-BE49-F238E27FC236}">
                  <a16:creationId xmlns:a16="http://schemas.microsoft.com/office/drawing/2014/main" id="{74066B4E-576B-4C2A-B855-2310537EBB0C}"/>
                </a:ext>
              </a:extLst>
            </xdr:cNvPr>
            <xdr:cNvSpPr/>
          </xdr:nvSpPr>
          <xdr:spPr>
            <a:xfrm>
              <a:off x="4063731" y="4035424"/>
              <a:ext cx="514350" cy="304800"/>
            </a:xfrm>
            <a:custGeom>
              <a:avLst/>
              <a:gdLst>
                <a:gd name="connsiteX0" fmla="*/ 502444 w 514350"/>
                <a:gd name="connsiteY0" fmla="*/ 25664 h 304800"/>
                <a:gd name="connsiteX1" fmla="*/ 446246 w 514350"/>
                <a:gd name="connsiteY1" fmla="*/ 13281 h 304800"/>
                <a:gd name="connsiteX2" fmla="*/ 438626 w 514350"/>
                <a:gd name="connsiteY2" fmla="*/ 20901 h 304800"/>
                <a:gd name="connsiteX3" fmla="*/ 299561 w 514350"/>
                <a:gd name="connsiteY3" fmla="*/ 165681 h 304800"/>
                <a:gd name="connsiteX4" fmla="*/ 257651 w 514350"/>
                <a:gd name="connsiteY4" fmla="*/ 148536 h 304800"/>
                <a:gd name="connsiteX5" fmla="*/ 190976 w 514350"/>
                <a:gd name="connsiteY5" fmla="*/ 139964 h 304800"/>
                <a:gd name="connsiteX6" fmla="*/ 124301 w 514350"/>
                <a:gd name="connsiteY6" fmla="*/ 150441 h 304800"/>
                <a:gd name="connsiteX7" fmla="*/ 39529 w 514350"/>
                <a:gd name="connsiteY7" fmla="*/ 195209 h 304800"/>
                <a:gd name="connsiteX8" fmla="*/ 27146 w 514350"/>
                <a:gd name="connsiteY8" fmla="*/ 217116 h 304800"/>
                <a:gd name="connsiteX9" fmla="*/ 7144 w 514350"/>
                <a:gd name="connsiteY9" fmla="*/ 300936 h 304800"/>
                <a:gd name="connsiteX10" fmla="*/ 291941 w 514350"/>
                <a:gd name="connsiteY10" fmla="*/ 300936 h 304800"/>
                <a:gd name="connsiteX11" fmla="*/ 291941 w 514350"/>
                <a:gd name="connsiteY11" fmla="*/ 299984 h 304800"/>
                <a:gd name="connsiteX12" fmla="*/ 372904 w 514350"/>
                <a:gd name="connsiteY12" fmla="*/ 205686 h 304800"/>
                <a:gd name="connsiteX13" fmla="*/ 497681 w 514350"/>
                <a:gd name="connsiteY13" fmla="*/ 74241 h 304800"/>
                <a:gd name="connsiteX14" fmla="*/ 502444 w 514350"/>
                <a:gd name="connsiteY14" fmla="*/ 25664 h 3048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</a:cxnLst>
              <a:rect l="l" t="t" r="r" b="b"/>
              <a:pathLst>
                <a:path w="514350" h="304800">
                  <a:moveTo>
                    <a:pt x="502444" y="25664"/>
                  </a:moveTo>
                  <a:cubicBezTo>
                    <a:pt x="490061" y="6614"/>
                    <a:pt x="465296" y="1851"/>
                    <a:pt x="446246" y="13281"/>
                  </a:cubicBezTo>
                  <a:cubicBezTo>
                    <a:pt x="442436" y="15186"/>
                    <a:pt x="440531" y="18996"/>
                    <a:pt x="438626" y="20901"/>
                  </a:cubicBezTo>
                  <a:lnTo>
                    <a:pt x="299561" y="165681"/>
                  </a:lnTo>
                  <a:cubicBezTo>
                    <a:pt x="286226" y="159014"/>
                    <a:pt x="271939" y="153299"/>
                    <a:pt x="257651" y="148536"/>
                  </a:cubicBezTo>
                  <a:cubicBezTo>
                    <a:pt x="235744" y="144726"/>
                    <a:pt x="212884" y="139964"/>
                    <a:pt x="190976" y="139964"/>
                  </a:cubicBezTo>
                  <a:cubicBezTo>
                    <a:pt x="169069" y="139964"/>
                    <a:pt x="146209" y="143774"/>
                    <a:pt x="124301" y="150441"/>
                  </a:cubicBezTo>
                  <a:cubicBezTo>
                    <a:pt x="91916" y="159014"/>
                    <a:pt x="63341" y="175206"/>
                    <a:pt x="39529" y="195209"/>
                  </a:cubicBezTo>
                  <a:cubicBezTo>
                    <a:pt x="33814" y="200924"/>
                    <a:pt x="29051" y="209496"/>
                    <a:pt x="27146" y="217116"/>
                  </a:cubicBezTo>
                  <a:lnTo>
                    <a:pt x="7144" y="300936"/>
                  </a:lnTo>
                  <a:lnTo>
                    <a:pt x="291941" y="300936"/>
                  </a:lnTo>
                  <a:lnTo>
                    <a:pt x="291941" y="299984"/>
                  </a:lnTo>
                  <a:lnTo>
                    <a:pt x="372904" y="205686"/>
                  </a:lnTo>
                  <a:lnTo>
                    <a:pt x="497681" y="74241"/>
                  </a:lnTo>
                  <a:cubicBezTo>
                    <a:pt x="509111" y="62811"/>
                    <a:pt x="512921" y="40904"/>
                    <a:pt x="502444" y="25664"/>
                  </a:cubicBezTo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es-ES"/>
            </a:p>
          </xdr:txBody>
        </xdr:sp>
      </xdr:grpSp>
    </xdr:grpSp>
    <xdr:clientData/>
  </xdr:twoCellAnchor>
  <xdr:twoCellAnchor editAs="absolute">
    <xdr:from>
      <xdr:col>1</xdr:col>
      <xdr:colOff>3036</xdr:colOff>
      <xdr:row>27</xdr:row>
      <xdr:rowOff>142875</xdr:rowOff>
    </xdr:from>
    <xdr:to>
      <xdr:col>16</xdr:col>
      <xdr:colOff>194641</xdr:colOff>
      <xdr:row>29</xdr:row>
      <xdr:rowOff>148395</xdr:rowOff>
    </xdr:to>
    <xdr:grpSp>
      <xdr:nvGrpSpPr>
        <xdr:cNvPr id="15" name="Grupo 14">
          <a:extLst>
            <a:ext uri="{FF2B5EF4-FFF2-40B4-BE49-F238E27FC236}">
              <a16:creationId xmlns:a16="http://schemas.microsoft.com/office/drawing/2014/main" id="{CE1E15C0-83D0-4D36-9836-37405E750FA0}"/>
            </a:ext>
          </a:extLst>
        </xdr:cNvPr>
        <xdr:cNvGrpSpPr/>
      </xdr:nvGrpSpPr>
      <xdr:grpSpPr>
        <a:xfrm>
          <a:off x="117336" y="5027295"/>
          <a:ext cx="12619825" cy="371280"/>
          <a:chOff x="117336" y="3989457"/>
          <a:chExt cx="12168533" cy="392042"/>
        </a:xfrm>
      </xdr:grpSpPr>
      <xdr:sp macro="" textlink="">
        <xdr:nvSpPr>
          <xdr:cNvPr id="16" name="CuadroTexto 15">
            <a:extLst>
              <a:ext uri="{FF2B5EF4-FFF2-40B4-BE49-F238E27FC236}">
                <a16:creationId xmlns:a16="http://schemas.microsoft.com/office/drawing/2014/main" id="{D16799A3-E4E9-4847-8BBE-9156AFDB738B}"/>
              </a:ext>
            </a:extLst>
          </xdr:cNvPr>
          <xdr:cNvSpPr txBox="1"/>
        </xdr:nvSpPr>
        <xdr:spPr>
          <a:xfrm>
            <a:off x="117336" y="3989457"/>
            <a:ext cx="12168533" cy="392042"/>
          </a:xfrm>
          <a:prstGeom prst="rect">
            <a:avLst/>
          </a:prstGeom>
          <a:solidFill>
            <a:schemeClr val="bg1">
              <a:lumMod val="85000"/>
            </a:schemeClr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r>
              <a:rPr lang="es-ES" sz="1600" b="1">
                <a:solidFill>
                  <a:srgbClr val="217346"/>
                </a:solidFill>
                <a:latin typeface="+mn-lt"/>
              </a:rPr>
              <a:t>        Ejercicio 1: evaluar tres alternativas con las funciones SI,</a:t>
            </a:r>
            <a:r>
              <a:rPr lang="es-ES" sz="1600" b="1" baseline="0">
                <a:solidFill>
                  <a:srgbClr val="217346"/>
                </a:solidFill>
                <a:latin typeface="+mn-lt"/>
              </a:rPr>
              <a:t> Y y O</a:t>
            </a:r>
            <a:endParaRPr lang="es-ES" sz="1600" b="1">
              <a:solidFill>
                <a:srgbClr val="217346"/>
              </a:solidFill>
              <a:latin typeface="+mn-lt"/>
            </a:endParaRPr>
          </a:p>
        </xdr:txBody>
      </xdr:sp>
      <xdr:grpSp>
        <xdr:nvGrpSpPr>
          <xdr:cNvPr id="17" name="Gráfico 105" descr="Lápiz">
            <a:extLst>
              <a:ext uri="{FF2B5EF4-FFF2-40B4-BE49-F238E27FC236}">
                <a16:creationId xmlns:a16="http://schemas.microsoft.com/office/drawing/2014/main" id="{67C81F43-945A-4A47-8E67-70D555C73103}"/>
              </a:ext>
            </a:extLst>
          </xdr:cNvPr>
          <xdr:cNvGrpSpPr/>
        </xdr:nvGrpSpPr>
        <xdr:grpSpPr>
          <a:xfrm>
            <a:off x="193261" y="4047988"/>
            <a:ext cx="262282" cy="262282"/>
            <a:chOff x="4030870" y="3023152"/>
            <a:chExt cx="914400" cy="914400"/>
          </a:xfrm>
          <a:solidFill>
            <a:srgbClr val="217346"/>
          </a:solidFill>
        </xdr:grpSpPr>
        <xdr:sp macro="" textlink="">
          <xdr:nvSpPr>
            <xdr:cNvPr id="18" name="Forma libre: forma 17">
              <a:extLst>
                <a:ext uri="{FF2B5EF4-FFF2-40B4-BE49-F238E27FC236}">
                  <a16:creationId xmlns:a16="http://schemas.microsoft.com/office/drawing/2014/main" id="{7362CF0F-E73C-428B-B90F-05B460C6E2A3}"/>
                </a:ext>
              </a:extLst>
            </xdr:cNvPr>
            <xdr:cNvSpPr/>
          </xdr:nvSpPr>
          <xdr:spPr>
            <a:xfrm>
              <a:off x="4099926" y="3196031"/>
              <a:ext cx="666750" cy="666750"/>
            </a:xfrm>
            <a:custGeom>
              <a:avLst/>
              <a:gdLst>
                <a:gd name="connsiteX0" fmla="*/ 169069 w 666750"/>
                <a:gd name="connsiteY0" fmla="*/ 504349 h 666750"/>
                <a:gd name="connsiteX1" fmla="*/ 169069 w 666750"/>
                <a:gd name="connsiteY1" fmla="*/ 571976 h 666750"/>
                <a:gd name="connsiteX2" fmla="*/ 88106 w 666750"/>
                <a:gd name="connsiteY2" fmla="*/ 598646 h 666750"/>
                <a:gd name="connsiteX3" fmla="*/ 73819 w 666750"/>
                <a:gd name="connsiteY3" fmla="*/ 584359 h 666750"/>
                <a:gd name="connsiteX4" fmla="*/ 100489 w 666750"/>
                <a:gd name="connsiteY4" fmla="*/ 503396 h 666750"/>
                <a:gd name="connsiteX5" fmla="*/ 169069 w 666750"/>
                <a:gd name="connsiteY5" fmla="*/ 504349 h 666750"/>
                <a:gd name="connsiteX6" fmla="*/ 543401 w 666750"/>
                <a:gd name="connsiteY6" fmla="*/ 7144 h 666750"/>
                <a:gd name="connsiteX7" fmla="*/ 67151 w 666750"/>
                <a:gd name="connsiteY7" fmla="*/ 484346 h 666750"/>
                <a:gd name="connsiteX8" fmla="*/ 7144 w 666750"/>
                <a:gd name="connsiteY8" fmla="*/ 665321 h 666750"/>
                <a:gd name="connsiteX9" fmla="*/ 189071 w 666750"/>
                <a:gd name="connsiteY9" fmla="*/ 605314 h 666750"/>
                <a:gd name="connsiteX10" fmla="*/ 665321 w 666750"/>
                <a:gd name="connsiteY10" fmla="*/ 129064 h 66675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</a:cxnLst>
              <a:rect l="l" t="t" r="r" b="b"/>
              <a:pathLst>
                <a:path w="666750" h="666750">
                  <a:moveTo>
                    <a:pt x="169069" y="504349"/>
                  </a:moveTo>
                  <a:cubicBezTo>
                    <a:pt x="188119" y="523399"/>
                    <a:pt x="188119" y="552926"/>
                    <a:pt x="169069" y="571976"/>
                  </a:cubicBezTo>
                  <a:lnTo>
                    <a:pt x="88106" y="598646"/>
                  </a:lnTo>
                  <a:lnTo>
                    <a:pt x="73819" y="584359"/>
                  </a:lnTo>
                  <a:lnTo>
                    <a:pt x="100489" y="503396"/>
                  </a:lnTo>
                  <a:cubicBezTo>
                    <a:pt x="120491" y="485299"/>
                    <a:pt x="150019" y="485299"/>
                    <a:pt x="169069" y="504349"/>
                  </a:cubicBezTo>
                  <a:close/>
                  <a:moveTo>
                    <a:pt x="543401" y="7144"/>
                  </a:moveTo>
                  <a:lnTo>
                    <a:pt x="67151" y="484346"/>
                  </a:lnTo>
                  <a:lnTo>
                    <a:pt x="7144" y="665321"/>
                  </a:lnTo>
                  <a:lnTo>
                    <a:pt x="189071" y="605314"/>
                  </a:lnTo>
                  <a:lnTo>
                    <a:pt x="665321" y="129064"/>
                  </a:lnTo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es-ES"/>
            </a:p>
          </xdr:txBody>
        </xdr:sp>
        <xdr:sp macro="" textlink="">
          <xdr:nvSpPr>
            <xdr:cNvPr id="19" name="Forma libre: forma 18">
              <a:extLst>
                <a:ext uri="{FF2B5EF4-FFF2-40B4-BE49-F238E27FC236}">
                  <a16:creationId xmlns:a16="http://schemas.microsoft.com/office/drawing/2014/main" id="{534D78FC-F6B2-4925-8375-36CB34767BD0}"/>
                </a:ext>
              </a:extLst>
            </xdr:cNvPr>
            <xdr:cNvSpPr/>
          </xdr:nvSpPr>
          <xdr:spPr>
            <a:xfrm>
              <a:off x="4662854" y="3091256"/>
              <a:ext cx="209550" cy="209550"/>
            </a:xfrm>
            <a:custGeom>
              <a:avLst/>
              <a:gdLst>
                <a:gd name="connsiteX0" fmla="*/ 195739 w 209550"/>
                <a:gd name="connsiteY0" fmla="*/ 86201 h 209550"/>
                <a:gd name="connsiteX1" fmla="*/ 128111 w 209550"/>
                <a:gd name="connsiteY1" fmla="*/ 18574 h 209550"/>
                <a:gd name="connsiteX2" fmla="*/ 73819 w 209550"/>
                <a:gd name="connsiteY2" fmla="*/ 18574 h 209550"/>
                <a:gd name="connsiteX3" fmla="*/ 7144 w 209550"/>
                <a:gd name="connsiteY3" fmla="*/ 85249 h 209550"/>
                <a:gd name="connsiteX4" fmla="*/ 128111 w 209550"/>
                <a:gd name="connsiteY4" fmla="*/ 206216 h 209550"/>
                <a:gd name="connsiteX5" fmla="*/ 194786 w 209550"/>
                <a:gd name="connsiteY5" fmla="*/ 139541 h 209550"/>
                <a:gd name="connsiteX6" fmla="*/ 195739 w 209550"/>
                <a:gd name="connsiteY6" fmla="*/ 86201 h 20955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</a:cxnLst>
              <a:rect l="l" t="t" r="r" b="b"/>
              <a:pathLst>
                <a:path w="209550" h="209550">
                  <a:moveTo>
                    <a:pt x="195739" y="86201"/>
                  </a:moveTo>
                  <a:lnTo>
                    <a:pt x="128111" y="18574"/>
                  </a:lnTo>
                  <a:cubicBezTo>
                    <a:pt x="112871" y="3334"/>
                    <a:pt x="89059" y="3334"/>
                    <a:pt x="73819" y="18574"/>
                  </a:cubicBezTo>
                  <a:lnTo>
                    <a:pt x="7144" y="85249"/>
                  </a:lnTo>
                  <a:lnTo>
                    <a:pt x="128111" y="206216"/>
                  </a:lnTo>
                  <a:lnTo>
                    <a:pt x="194786" y="139541"/>
                  </a:lnTo>
                  <a:cubicBezTo>
                    <a:pt x="210979" y="125254"/>
                    <a:pt x="210979" y="101441"/>
                    <a:pt x="195739" y="86201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es-ES"/>
            </a:p>
          </xdr:txBody>
        </xdr:sp>
      </xdr:grpSp>
    </xdr:grpSp>
    <xdr:clientData/>
  </xdr:twoCellAnchor>
  <xdr:twoCellAnchor editAs="absolute">
    <xdr:from>
      <xdr:col>10</xdr:col>
      <xdr:colOff>666750</xdr:colOff>
      <xdr:row>8</xdr:row>
      <xdr:rowOff>0</xdr:rowOff>
    </xdr:from>
    <xdr:to>
      <xdr:col>14</xdr:col>
      <xdr:colOff>666750</xdr:colOff>
      <xdr:row>12</xdr:row>
      <xdr:rowOff>0</xdr:rowOff>
    </xdr:to>
    <xdr:sp macro="" textlink="">
      <xdr:nvSpPr>
        <xdr:cNvPr id="26" name="Bocadillo: rectángulo con esquinas redondeadas 25">
          <a:extLst>
            <a:ext uri="{FF2B5EF4-FFF2-40B4-BE49-F238E27FC236}">
              <a16:creationId xmlns:a16="http://schemas.microsoft.com/office/drawing/2014/main" id="{771043FA-7731-4B0C-BFF8-FDD0D2F6846B}"/>
            </a:ext>
          </a:extLst>
        </xdr:cNvPr>
        <xdr:cNvSpPr/>
      </xdr:nvSpPr>
      <xdr:spPr>
        <a:xfrm>
          <a:off x="8199783" y="1477065"/>
          <a:ext cx="3036956" cy="773044"/>
        </a:xfrm>
        <a:prstGeom prst="wedgeRoundRectCallout">
          <a:avLst>
            <a:gd name="adj1" fmla="val -33687"/>
            <a:gd name="adj2" fmla="val 66480"/>
            <a:gd name="adj3" fmla="val 16667"/>
          </a:avLst>
        </a:prstGeom>
        <a:solidFill>
          <a:schemeClr val="accent1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000" b="1" u="sng">
              <a:solidFill>
                <a:schemeClr val="accent1"/>
              </a:solidFill>
              <a:latin typeface="+mn-lt"/>
            </a:rPr>
            <a:t>¡ATENCIÓN!</a:t>
          </a:r>
          <a:endParaRPr lang="es-ES" sz="1000" b="1" u="sng" baseline="0">
            <a:solidFill>
              <a:schemeClr val="accent1"/>
            </a:solidFill>
            <a:latin typeface="+mn-lt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" sz="1000" b="0" i="0" u="none" strike="noStrike" kern="0" cap="none" spc="0" normalizeH="0" baseline="0" noProof="0">
              <a:ln>
                <a:noFill/>
              </a:ln>
              <a:solidFill>
                <a:schemeClr val="accent1"/>
              </a:solidFill>
              <a:effectLst/>
              <a:uLnTx/>
              <a:uFillTx/>
              <a:latin typeface="+mn-lt"/>
              <a:ea typeface="+mn-ea"/>
              <a:cs typeface="+mn-cs"/>
            </a:rPr>
            <a:t>Dependiendo del punto de vista que necesitemos, nos convendrá utilizar una función u otra.</a:t>
          </a:r>
        </a:p>
      </xdr:txBody>
    </xdr:sp>
    <xdr:clientData/>
  </xdr:twoCellAnchor>
  <xdr:twoCellAnchor editAs="absolute">
    <xdr:from>
      <xdr:col>2</xdr:col>
      <xdr:colOff>0</xdr:colOff>
      <xdr:row>40</xdr:row>
      <xdr:rowOff>1943</xdr:rowOff>
    </xdr:from>
    <xdr:to>
      <xdr:col>7</xdr:col>
      <xdr:colOff>0</xdr:colOff>
      <xdr:row>46</xdr:row>
      <xdr:rowOff>144575</xdr:rowOff>
    </xdr:to>
    <xdr:sp macro="" textlink="">
      <xdr:nvSpPr>
        <xdr:cNvPr id="28" name="Bocadillo: rectángulo con esquinas redondeadas 27">
          <a:extLst>
            <a:ext uri="{FF2B5EF4-FFF2-40B4-BE49-F238E27FC236}">
              <a16:creationId xmlns:a16="http://schemas.microsoft.com/office/drawing/2014/main" id="{88C12125-3D39-4466-953D-489940ED9278}"/>
            </a:ext>
          </a:extLst>
        </xdr:cNvPr>
        <xdr:cNvSpPr/>
      </xdr:nvSpPr>
      <xdr:spPr>
        <a:xfrm>
          <a:off x="875960" y="7426340"/>
          <a:ext cx="3172165" cy="1265222"/>
        </a:xfrm>
        <a:prstGeom prst="wedgeRoundRectCallout">
          <a:avLst>
            <a:gd name="adj1" fmla="val 19496"/>
            <a:gd name="adj2" fmla="val -60859"/>
            <a:gd name="adj3" fmla="val 16667"/>
          </a:avLst>
        </a:prstGeom>
        <a:solidFill>
          <a:schemeClr val="accent1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000" b="1" u="sng">
              <a:solidFill>
                <a:schemeClr val="accent1"/>
              </a:solidFill>
              <a:latin typeface="+mn-lt"/>
            </a:rPr>
            <a:t>¡ATENCIÓN!</a:t>
          </a:r>
          <a:endParaRPr lang="es-ES" sz="1000" b="1" u="sng" baseline="0">
            <a:solidFill>
              <a:schemeClr val="accent1"/>
            </a:solidFill>
            <a:latin typeface="+mn-lt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" sz="1000" b="0" i="0" u="none" strike="noStrike" kern="0" cap="none" spc="0" normalizeH="0" baseline="0" noProof="0">
              <a:ln>
                <a:noFill/>
              </a:ln>
              <a:solidFill>
                <a:srgbClr val="0070C0"/>
              </a:solidFill>
              <a:effectLst/>
              <a:uLnTx/>
              <a:uFillTx/>
              <a:latin typeface="+mn-lt"/>
              <a:ea typeface="+mn-ea"/>
              <a:cs typeface="+mn-cs"/>
            </a:rPr>
            <a:t>La diferencia entre utilizar las funciones </a:t>
          </a:r>
          <a:r>
            <a:rPr kumimoji="0" lang="es-ES" sz="1000" b="1" i="0" u="none" strike="noStrike" kern="0" cap="none" spc="0" normalizeH="0" baseline="0" noProof="0">
              <a:ln>
                <a:noFill/>
              </a:ln>
              <a:solidFill>
                <a:srgbClr val="0070C0"/>
              </a:solidFill>
              <a:effectLst/>
              <a:uLnTx/>
              <a:uFillTx/>
              <a:latin typeface="+mn-lt"/>
              <a:ea typeface="+mn-ea"/>
              <a:cs typeface="+mn-cs"/>
            </a:rPr>
            <a:t>Y</a:t>
          </a:r>
          <a:r>
            <a:rPr kumimoji="0" lang="es-ES" sz="1000" b="0" i="0" u="none" strike="noStrike" kern="0" cap="none" spc="0" normalizeH="0" baseline="0" noProof="0">
              <a:ln>
                <a:noFill/>
              </a:ln>
              <a:solidFill>
                <a:srgbClr val="0070C0"/>
              </a:solidFill>
              <a:effectLst/>
              <a:uLnTx/>
              <a:uFillTx/>
              <a:latin typeface="+mn-lt"/>
              <a:ea typeface="+mn-ea"/>
              <a:cs typeface="+mn-cs"/>
            </a:rPr>
            <a:t> y </a:t>
          </a:r>
          <a:r>
            <a:rPr kumimoji="0" lang="es-ES" sz="1000" b="1" i="0" u="none" strike="noStrike" kern="0" cap="none" spc="0" normalizeH="0" baseline="0" noProof="0">
              <a:ln>
                <a:noFill/>
              </a:ln>
              <a:solidFill>
                <a:srgbClr val="0070C0"/>
              </a:solidFill>
              <a:effectLst/>
              <a:uLnTx/>
              <a:uFillTx/>
              <a:latin typeface="+mn-lt"/>
              <a:ea typeface="+mn-ea"/>
              <a:cs typeface="+mn-cs"/>
            </a:rPr>
            <a:t>O</a:t>
          </a:r>
          <a:r>
            <a:rPr kumimoji="0" lang="es-ES" sz="1000" b="0" i="0" u="none" strike="noStrike" kern="0" cap="none" spc="0" normalizeH="0" baseline="0" noProof="0">
              <a:ln>
                <a:noFill/>
              </a:ln>
              <a:solidFill>
                <a:srgbClr val="0070C0"/>
              </a:solidFill>
              <a:effectLst/>
              <a:uLnTx/>
              <a:uFillTx/>
              <a:latin typeface="+mn-lt"/>
              <a:ea typeface="+mn-ea"/>
              <a:cs typeface="+mn-cs"/>
            </a:rPr>
            <a:t> en solitario o anidadas dentro de la función </a:t>
          </a:r>
          <a:r>
            <a:rPr kumimoji="0" lang="es-ES" sz="1000" b="1" i="0" u="none" strike="noStrike" kern="0" cap="none" spc="0" normalizeH="0" baseline="0" noProof="0">
              <a:ln>
                <a:noFill/>
              </a:ln>
              <a:solidFill>
                <a:srgbClr val="0070C0"/>
              </a:solidFill>
              <a:effectLst/>
              <a:uLnTx/>
              <a:uFillTx/>
              <a:latin typeface="+mn-lt"/>
              <a:ea typeface="+mn-ea"/>
              <a:cs typeface="+mn-cs"/>
            </a:rPr>
            <a:t>SI</a:t>
          </a:r>
          <a:r>
            <a:rPr kumimoji="0" lang="es-ES" sz="1000" b="0" i="0" u="none" strike="noStrike" kern="0" cap="none" spc="0" normalizeH="0" baseline="0" noProof="0">
              <a:ln>
                <a:noFill/>
              </a:ln>
              <a:solidFill>
                <a:srgbClr val="0070C0"/>
              </a:solidFill>
              <a:effectLst/>
              <a:uLnTx/>
              <a:uFillTx/>
              <a:latin typeface="+mn-lt"/>
              <a:ea typeface="+mn-ea"/>
              <a:cs typeface="+mn-cs"/>
            </a:rPr>
            <a:t> es que, en el último caso, nos podemos permitir personalizar la respuesta (</a:t>
          </a:r>
          <a:r>
            <a:rPr kumimoji="0" lang="es-ES" sz="1000" b="0" i="1" u="none" strike="noStrike" kern="0" cap="none" spc="0" normalizeH="0" baseline="0" noProof="0">
              <a:ln>
                <a:noFill/>
              </a:ln>
              <a:solidFill>
                <a:srgbClr val="0070C0"/>
              </a:solidFill>
              <a:effectLst/>
              <a:uLnTx/>
              <a:uFillTx/>
              <a:latin typeface="+mn-lt"/>
              <a:ea typeface="+mn-ea"/>
              <a:cs typeface="+mn-cs"/>
            </a:rPr>
            <a:t>en vez de recibir tan solo un </a:t>
          </a:r>
          <a:r>
            <a:rPr kumimoji="0" lang="es-ES" sz="1000" b="1" i="1" u="none" strike="noStrike" kern="0" cap="none" spc="0" normalizeH="0" baseline="0" noProof="0">
              <a:ln>
                <a:noFill/>
              </a:ln>
              <a:solidFill>
                <a:srgbClr val="0070C0"/>
              </a:solidFill>
              <a:effectLst/>
              <a:uLnTx/>
              <a:uFillTx/>
              <a:latin typeface="+mn-lt"/>
              <a:ea typeface="+mn-ea"/>
              <a:cs typeface="+mn-cs"/>
            </a:rPr>
            <a:t>VERDADERO</a:t>
          </a:r>
          <a:r>
            <a:rPr kumimoji="0" lang="es-ES" sz="1000" b="0" i="1" u="none" strike="noStrike" kern="0" cap="none" spc="0" normalizeH="0" baseline="0" noProof="0">
              <a:ln>
                <a:noFill/>
              </a:ln>
              <a:solidFill>
                <a:srgbClr val="0070C0"/>
              </a:solidFill>
              <a:effectLst/>
              <a:uLnTx/>
              <a:uFillTx/>
              <a:latin typeface="+mn-lt"/>
              <a:ea typeface="+mn-ea"/>
              <a:cs typeface="+mn-cs"/>
            </a:rPr>
            <a:t> o </a:t>
          </a:r>
          <a:r>
            <a:rPr kumimoji="0" lang="es-ES" sz="1000" b="1" i="1" u="none" strike="noStrike" kern="0" cap="none" spc="0" normalizeH="0" baseline="0" noProof="0">
              <a:ln>
                <a:noFill/>
              </a:ln>
              <a:solidFill>
                <a:srgbClr val="0070C0"/>
              </a:solidFill>
              <a:effectLst/>
              <a:uLnTx/>
              <a:uFillTx/>
              <a:latin typeface="+mn-lt"/>
              <a:ea typeface="+mn-ea"/>
              <a:cs typeface="+mn-cs"/>
            </a:rPr>
            <a:t>FALSO</a:t>
          </a:r>
          <a:r>
            <a:rPr kumimoji="0" lang="es-ES" sz="1000" b="0" i="0" u="none" strike="noStrike" kern="0" cap="none" spc="0" normalizeH="0" baseline="0" noProof="0">
              <a:ln>
                <a:noFill/>
              </a:ln>
              <a:solidFill>
                <a:srgbClr val="0070C0"/>
              </a:solidFill>
              <a:effectLst/>
              <a:uLnTx/>
              <a:uFillTx/>
              <a:latin typeface="+mn-lt"/>
              <a:ea typeface="+mn-ea"/>
              <a:cs typeface="+mn-cs"/>
            </a:rPr>
            <a:t>).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>
    <tabColor rgb="FFFFFF00"/>
  </sheetPr>
  <dimension ref="I1:M51"/>
  <sheetViews>
    <sheetView showGridLines="0" tabSelected="1" topLeftCell="A19" zoomScaleNormal="100" workbookViewId="0">
      <selection activeCell="Q19" sqref="Q19"/>
    </sheetView>
  </sheetViews>
  <sheetFormatPr baseColWidth="10" defaultRowHeight="14.4" x14ac:dyDescent="0.3"/>
  <cols>
    <col min="1" max="1" width="1.6640625" customWidth="1"/>
    <col min="7" max="7" width="1.6640625" customWidth="1"/>
    <col min="8" max="10" width="14.6640625" customWidth="1"/>
    <col min="11" max="11" width="21.33203125" customWidth="1"/>
  </cols>
  <sheetData>
    <row r="1" spans="9:11" ht="9.9" customHeight="1" x14ac:dyDescent="0.3"/>
    <row r="9" spans="9:11" x14ac:dyDescent="0.3">
      <c r="I9" s="2" t="s">
        <v>1</v>
      </c>
      <c r="J9" s="3" t="s">
        <v>0</v>
      </c>
      <c r="K9" s="4" t="s">
        <v>2</v>
      </c>
    </row>
    <row r="10" spans="9:11" x14ac:dyDescent="0.3">
      <c r="I10" s="20">
        <v>4500</v>
      </c>
      <c r="J10" s="21">
        <v>4358</v>
      </c>
      <c r="K10" s="6" t="str">
        <f>IF(I10&gt;J10, "Ventas es mayor", "Presupuesto es mayor")</f>
        <v>Ventas es mayor</v>
      </c>
    </row>
    <row r="11" spans="9:11" x14ac:dyDescent="0.3">
      <c r="I11" s="20">
        <v>5100</v>
      </c>
      <c r="J11" s="21">
        <v>5891</v>
      </c>
      <c r="K11" s="6" t="str">
        <f t="shared" ref="K11:K14" si="0">IF(I11&gt;J11, "Ventas es mayor", "Presupuesto es mayor")</f>
        <v>Presupuesto es mayor</v>
      </c>
    </row>
    <row r="12" spans="9:11" x14ac:dyDescent="0.3">
      <c r="I12" s="20">
        <v>3278</v>
      </c>
      <c r="J12" s="21">
        <v>3100.58</v>
      </c>
      <c r="K12" s="6" t="str">
        <f t="shared" si="0"/>
        <v>Ventas es mayor</v>
      </c>
    </row>
    <row r="13" spans="9:11" x14ac:dyDescent="0.3">
      <c r="I13" s="20">
        <v>5648</v>
      </c>
      <c r="J13" s="21">
        <v>3250</v>
      </c>
      <c r="K13" s="6" t="str">
        <f t="shared" si="0"/>
        <v>Ventas es mayor</v>
      </c>
    </row>
    <row r="14" spans="9:11" x14ac:dyDescent="0.3">
      <c r="I14" s="22">
        <v>9988</v>
      </c>
      <c r="J14" s="23">
        <v>5891</v>
      </c>
      <c r="K14" s="44" t="str">
        <f t="shared" si="0"/>
        <v>Ventas es mayor</v>
      </c>
    </row>
    <row r="25" spans="9:13" ht="15" customHeight="1" x14ac:dyDescent="0.3">
      <c r="I25" s="2" t="s">
        <v>1</v>
      </c>
      <c r="J25" s="4" t="s">
        <v>2</v>
      </c>
      <c r="M25" s="43" t="s">
        <v>3</v>
      </c>
    </row>
    <row r="26" spans="9:13" x14ac:dyDescent="0.3">
      <c r="I26" s="20">
        <v>4500</v>
      </c>
      <c r="J26" s="1">
        <f>IF(I26&gt;$M$27, 1,0)</f>
        <v>0</v>
      </c>
      <c r="M26" s="43"/>
    </row>
    <row r="27" spans="9:13" x14ac:dyDescent="0.3">
      <c r="I27" s="20">
        <v>5100</v>
      </c>
      <c r="J27" s="1">
        <f t="shared" ref="J27:J30" si="1">IF(I27&gt;$M$27, 1,0)</f>
        <v>1</v>
      </c>
      <c r="M27" s="25">
        <v>5050</v>
      </c>
    </row>
    <row r="28" spans="9:13" x14ac:dyDescent="0.3">
      <c r="I28" s="20">
        <v>3278</v>
      </c>
      <c r="J28" s="1">
        <f t="shared" si="1"/>
        <v>0</v>
      </c>
    </row>
    <row r="29" spans="9:13" x14ac:dyDescent="0.3">
      <c r="I29" s="20">
        <v>5648</v>
      </c>
      <c r="J29" s="1">
        <f t="shared" si="1"/>
        <v>1</v>
      </c>
    </row>
    <row r="30" spans="9:13" x14ac:dyDescent="0.3">
      <c r="I30" s="24">
        <v>9988</v>
      </c>
      <c r="J30" s="45">
        <f t="shared" si="1"/>
        <v>1</v>
      </c>
    </row>
    <row r="44" spans="9:11" ht="15" customHeight="1" x14ac:dyDescent="0.3"/>
    <row r="46" spans="9:11" x14ac:dyDescent="0.3">
      <c r="I46" s="2" t="s">
        <v>1</v>
      </c>
      <c r="J46" s="3" t="s">
        <v>0</v>
      </c>
      <c r="K46" s="4" t="s">
        <v>2</v>
      </c>
    </row>
    <row r="47" spans="9:11" x14ac:dyDescent="0.3">
      <c r="I47" s="20">
        <v>4500</v>
      </c>
      <c r="J47" s="21">
        <v>4358</v>
      </c>
      <c r="K47" s="1" t="str">
        <f>IF(I47&gt;J47, "OK", "NO OK")</f>
        <v>OK</v>
      </c>
    </row>
    <row r="48" spans="9:11" x14ac:dyDescent="0.3">
      <c r="I48" s="20">
        <v>5100</v>
      </c>
      <c r="J48" s="21">
        <v>5891</v>
      </c>
      <c r="K48" s="1" t="str">
        <f t="shared" ref="K48:K51" si="2">IF(I48&gt;J48, "OK", "NO OK")</f>
        <v>NO OK</v>
      </c>
    </row>
    <row r="49" spans="9:11" x14ac:dyDescent="0.3">
      <c r="I49" s="20">
        <v>3278</v>
      </c>
      <c r="J49" s="21">
        <v>3100.58</v>
      </c>
      <c r="K49" s="1" t="str">
        <f t="shared" si="2"/>
        <v>OK</v>
      </c>
    </row>
    <row r="50" spans="9:11" x14ac:dyDescent="0.3">
      <c r="I50" s="20">
        <v>5648</v>
      </c>
      <c r="J50" s="21">
        <v>3250</v>
      </c>
      <c r="K50" s="1" t="str">
        <f t="shared" si="2"/>
        <v>OK</v>
      </c>
    </row>
    <row r="51" spans="9:11" x14ac:dyDescent="0.3">
      <c r="I51" s="24">
        <v>9988</v>
      </c>
      <c r="J51" s="26">
        <v>5891</v>
      </c>
      <c r="K51" s="45" t="str">
        <f t="shared" si="2"/>
        <v>OK</v>
      </c>
    </row>
  </sheetData>
  <mergeCells count="1">
    <mergeCell ref="M25:M26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>
    <tabColor theme="5"/>
  </sheetPr>
  <dimension ref="H1:M52"/>
  <sheetViews>
    <sheetView showGridLines="0" topLeftCell="A34" zoomScale="112" zoomScaleNormal="112" workbookViewId="0">
      <selection activeCell="J34" sqref="J34"/>
    </sheetView>
  </sheetViews>
  <sheetFormatPr baseColWidth="10" defaultRowHeight="14.4" x14ac:dyDescent="0.3"/>
  <cols>
    <col min="1" max="1" width="1.6640625" customWidth="1"/>
    <col min="7" max="7" width="1.6640625" customWidth="1"/>
    <col min="8" max="8" width="12" customWidth="1"/>
    <col min="9" max="9" width="14.6640625" customWidth="1"/>
    <col min="10" max="10" width="21.6640625" customWidth="1"/>
  </cols>
  <sheetData>
    <row r="1" spans="9:13" ht="9.9" customHeight="1" x14ac:dyDescent="0.3"/>
    <row r="9" spans="9:13" x14ac:dyDescent="0.3">
      <c r="I9" s="7" t="s">
        <v>4</v>
      </c>
      <c r="J9" s="8" t="s">
        <v>2</v>
      </c>
      <c r="M9" t="s">
        <v>34</v>
      </c>
    </row>
    <row r="10" spans="9:13" x14ac:dyDescent="0.3">
      <c r="I10" s="27">
        <v>4500</v>
      </c>
      <c r="J10" s="9" t="str">
        <f>IF(I10="", "Sin importe", IF(I10&lt;$M$10, "IMPORTE MENOR", "IMPORTE MAYOR"))</f>
        <v>IMPORTE MENOR</v>
      </c>
      <c r="M10">
        <v>5000</v>
      </c>
    </row>
    <row r="11" spans="9:13" x14ac:dyDescent="0.3">
      <c r="I11" s="27">
        <v>5100</v>
      </c>
      <c r="J11" s="9" t="str">
        <f t="shared" ref="J11:J14" si="0">IF(I11="", "Sin importe", IF(I11&lt;$M$10, "IMPORTE MENOR", "IMPORTE MAYOR"))</f>
        <v>IMPORTE MAYOR</v>
      </c>
    </row>
    <row r="12" spans="9:13" x14ac:dyDescent="0.3">
      <c r="I12" s="27" t="str">
        <f>""</f>
        <v/>
      </c>
      <c r="J12" s="9" t="str">
        <f t="shared" si="0"/>
        <v>Sin importe</v>
      </c>
    </row>
    <row r="13" spans="9:13" x14ac:dyDescent="0.3">
      <c r="I13" s="27">
        <v>5648</v>
      </c>
      <c r="J13" s="9" t="str">
        <f t="shared" si="0"/>
        <v>IMPORTE MAYOR</v>
      </c>
    </row>
    <row r="14" spans="9:13" x14ac:dyDescent="0.3">
      <c r="I14" s="28" t="str">
        <f>""</f>
        <v/>
      </c>
      <c r="J14" s="9" t="str">
        <f t="shared" si="0"/>
        <v>Sin importe</v>
      </c>
    </row>
    <row r="27" spans="8:10" ht="15" customHeight="1" x14ac:dyDescent="0.3">
      <c r="H27" s="10" t="s">
        <v>5</v>
      </c>
      <c r="I27" s="14" t="s">
        <v>6</v>
      </c>
      <c r="J27" s="11" t="s">
        <v>7</v>
      </c>
    </row>
    <row r="28" spans="8:10" x14ac:dyDescent="0.3">
      <c r="H28" s="29">
        <v>0</v>
      </c>
      <c r="I28" s="30">
        <v>2000</v>
      </c>
      <c r="J28" s="31" t="s">
        <v>8</v>
      </c>
    </row>
    <row r="29" spans="8:10" x14ac:dyDescent="0.3">
      <c r="H29" s="29">
        <v>2000.01</v>
      </c>
      <c r="I29" s="30">
        <v>4000</v>
      </c>
      <c r="J29" s="31" t="s">
        <v>9</v>
      </c>
    </row>
    <row r="30" spans="8:10" x14ac:dyDescent="0.3">
      <c r="H30" s="29">
        <v>4000.01</v>
      </c>
      <c r="I30" s="30">
        <v>6000</v>
      </c>
      <c r="J30" s="31" t="s">
        <v>10</v>
      </c>
    </row>
    <row r="31" spans="8:10" x14ac:dyDescent="0.3">
      <c r="H31" s="32">
        <v>6000.01</v>
      </c>
      <c r="I31" s="33" t="s">
        <v>11</v>
      </c>
      <c r="J31" s="34" t="s">
        <v>12</v>
      </c>
    </row>
    <row r="33" spans="8:10" x14ac:dyDescent="0.3">
      <c r="H33" s="12" t="s">
        <v>13</v>
      </c>
      <c r="I33" s="13" t="s">
        <v>14</v>
      </c>
      <c r="J33" s="8" t="s">
        <v>15</v>
      </c>
    </row>
    <row r="34" spans="8:10" x14ac:dyDescent="0.3">
      <c r="H34" s="35" t="s">
        <v>16</v>
      </c>
      <c r="I34" s="30">
        <v>4500</v>
      </c>
      <c r="J34" s="15" t="str">
        <f>IF(NOT(ISNUMBER(I34)), "ES TEXTO",IF(I34&lt;0, "NEGATIVO", IF(AND(I34&gt;=0,I34&lt;=2000), $J$28, IF(AND(I34&gt;2000,I34&lt;=4000), $J$29, IF(AND(I34&gt;4000, I34&lt;=6000), $J$30, IF(I34&gt;6000, $J$31, "ninguna cumple"))))))</f>
        <v>Tipo de riesgo C</v>
      </c>
    </row>
    <row r="35" spans="8:10" x14ac:dyDescent="0.3">
      <c r="H35" s="35" t="s">
        <v>17</v>
      </c>
      <c r="I35" s="30">
        <v>5100</v>
      </c>
      <c r="J35" s="15" t="str">
        <f t="shared" ref="J35:J52" si="1">IF(NOT(ISNUMBER(I35)), "ES TEXTO",IF(I35&lt;0, "NEGATIVO", IF(AND(I35&gt;=0,I35&lt;=2000), $J$28, IF(AND(I35&gt;2000,I35&lt;=4000), $J$29, IF(AND(I35&gt;4000, I35&lt;=6000), $J$30, IF(I35&gt;6000, $J$31, "ninguna cumple"))))))</f>
        <v>Tipo de riesgo C</v>
      </c>
    </row>
    <row r="36" spans="8:10" x14ac:dyDescent="0.3">
      <c r="H36" s="35" t="s">
        <v>18</v>
      </c>
      <c r="I36" s="30">
        <v>3500</v>
      </c>
      <c r="J36" s="15" t="str">
        <f t="shared" si="1"/>
        <v>Tipo de riesgo B</v>
      </c>
    </row>
    <row r="37" spans="8:10" x14ac:dyDescent="0.3">
      <c r="H37" s="35" t="s">
        <v>19</v>
      </c>
      <c r="I37" s="30">
        <v>5648</v>
      </c>
      <c r="J37" s="15" t="str">
        <f t="shared" si="1"/>
        <v>Tipo de riesgo C</v>
      </c>
    </row>
    <row r="38" spans="8:10" x14ac:dyDescent="0.3">
      <c r="H38" s="35" t="s">
        <v>20</v>
      </c>
      <c r="I38" s="30">
        <v>700</v>
      </c>
      <c r="J38" s="15" t="str">
        <f t="shared" si="1"/>
        <v>Tipo de riesgo A</v>
      </c>
    </row>
    <row r="39" spans="8:10" x14ac:dyDescent="0.3">
      <c r="H39" s="35" t="s">
        <v>21</v>
      </c>
      <c r="I39" s="30">
        <v>1255</v>
      </c>
      <c r="J39" s="15" t="str">
        <f t="shared" si="1"/>
        <v>Tipo de riesgo A</v>
      </c>
    </row>
    <row r="40" spans="8:10" x14ac:dyDescent="0.3">
      <c r="H40" s="35" t="s">
        <v>22</v>
      </c>
      <c r="I40" s="30">
        <v>3138</v>
      </c>
      <c r="J40" s="15" t="str">
        <f t="shared" si="1"/>
        <v>Tipo de riesgo B</v>
      </c>
    </row>
    <row r="41" spans="8:10" x14ac:dyDescent="0.3">
      <c r="H41" s="35" t="s">
        <v>23</v>
      </c>
      <c r="I41" s="30">
        <v>9874</v>
      </c>
      <c r="J41" s="15" t="str">
        <f t="shared" si="1"/>
        <v>Tipo de riesgo D</v>
      </c>
    </row>
    <row r="42" spans="8:10" x14ac:dyDescent="0.3">
      <c r="H42" s="35" t="s">
        <v>24</v>
      </c>
      <c r="I42" s="30">
        <v>1389</v>
      </c>
      <c r="J42" s="15" t="str">
        <f t="shared" si="1"/>
        <v>Tipo de riesgo A</v>
      </c>
    </row>
    <row r="43" spans="8:10" x14ac:dyDescent="0.3">
      <c r="H43" s="36" t="s">
        <v>25</v>
      </c>
      <c r="I43" s="37">
        <v>3051.3333333333298</v>
      </c>
      <c r="J43" s="15" t="str">
        <f t="shared" si="1"/>
        <v>Tipo de riesgo B</v>
      </c>
    </row>
    <row r="44" spans="8:10" x14ac:dyDescent="0.3">
      <c r="I44" s="41">
        <v>0</v>
      </c>
      <c r="J44" s="15" t="str">
        <f t="shared" si="1"/>
        <v>Tipo de riesgo A</v>
      </c>
    </row>
    <row r="45" spans="8:10" x14ac:dyDescent="0.3">
      <c r="I45" s="41">
        <v>-1000</v>
      </c>
      <c r="J45" s="15" t="str">
        <f t="shared" si="1"/>
        <v>NEGATIVO</v>
      </c>
    </row>
    <row r="46" spans="8:10" x14ac:dyDescent="0.3">
      <c r="I46" t="s">
        <v>35</v>
      </c>
      <c r="J46" s="15" t="str">
        <f t="shared" si="1"/>
        <v>ES TEXTO</v>
      </c>
    </row>
    <row r="47" spans="8:10" x14ac:dyDescent="0.3">
      <c r="I47" s="41">
        <v>2000</v>
      </c>
      <c r="J47" s="15" t="str">
        <f t="shared" si="1"/>
        <v>Tipo de riesgo A</v>
      </c>
    </row>
    <row r="48" spans="8:10" x14ac:dyDescent="0.3">
      <c r="I48" s="41">
        <v>4000</v>
      </c>
      <c r="J48" s="15" t="str">
        <f t="shared" si="1"/>
        <v>Tipo de riesgo B</v>
      </c>
    </row>
    <row r="49" spans="9:10" x14ac:dyDescent="0.3">
      <c r="I49" s="41">
        <v>6000</v>
      </c>
      <c r="J49" s="15" t="str">
        <f t="shared" si="1"/>
        <v>Tipo de riesgo C</v>
      </c>
    </row>
    <row r="50" spans="9:10" x14ac:dyDescent="0.3">
      <c r="I50" s="42">
        <v>2000.01</v>
      </c>
      <c r="J50" s="15" t="str">
        <f t="shared" si="1"/>
        <v>Tipo de riesgo B</v>
      </c>
    </row>
    <row r="51" spans="9:10" x14ac:dyDescent="0.3">
      <c r="I51" s="41">
        <v>4000.01</v>
      </c>
      <c r="J51" s="15" t="str">
        <f t="shared" si="1"/>
        <v>Tipo de riesgo C</v>
      </c>
    </row>
    <row r="52" spans="9:10" x14ac:dyDescent="0.3">
      <c r="I52" s="41">
        <v>6000.01</v>
      </c>
      <c r="J52" s="15" t="str">
        <f t="shared" si="1"/>
        <v>Tipo de riesgo D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5">
    <tabColor theme="5"/>
  </sheetPr>
  <dimension ref="I1:K43"/>
  <sheetViews>
    <sheetView showGridLines="0" topLeftCell="A28" zoomScaleNormal="100" workbookViewId="0">
      <selection activeCell="K46" sqref="K46"/>
    </sheetView>
  </sheetViews>
  <sheetFormatPr baseColWidth="10" defaultRowHeight="14.4" x14ac:dyDescent="0.3"/>
  <cols>
    <col min="1" max="1" width="1.6640625" customWidth="1"/>
    <col min="7" max="7" width="1.6640625" customWidth="1"/>
    <col min="8" max="9" width="14.6640625" customWidth="1"/>
    <col min="10" max="10" width="23.109375" customWidth="1"/>
  </cols>
  <sheetData>
    <row r="1" spans="9:11" ht="9.9" customHeight="1" x14ac:dyDescent="0.3"/>
    <row r="9" spans="9:11" x14ac:dyDescent="0.3">
      <c r="I9" s="18" t="s">
        <v>26</v>
      </c>
      <c r="J9" s="4" t="s">
        <v>31</v>
      </c>
    </row>
    <row r="10" spans="9:11" x14ac:dyDescent="0.3">
      <c r="I10" s="20" t="s">
        <v>27</v>
      </c>
      <c r="J10" s="38" t="s">
        <v>30</v>
      </c>
      <c r="K10" s="5"/>
    </row>
    <row r="11" spans="9:11" x14ac:dyDescent="0.3">
      <c r="I11" s="20" t="s">
        <v>28</v>
      </c>
      <c r="J11" s="38" t="s">
        <v>30</v>
      </c>
    </row>
    <row r="12" spans="9:11" x14ac:dyDescent="0.3">
      <c r="I12" s="39" t="s">
        <v>29</v>
      </c>
      <c r="J12" s="40" t="s">
        <v>30</v>
      </c>
    </row>
    <row r="14" spans="9:11" x14ac:dyDescent="0.3">
      <c r="J14" s="16" t="s">
        <v>32</v>
      </c>
    </row>
    <row r="15" spans="9:11" x14ac:dyDescent="0.3">
      <c r="J15" s="17"/>
    </row>
    <row r="17" spans="10:11" x14ac:dyDescent="0.3">
      <c r="J17" s="16" t="s">
        <v>33</v>
      </c>
    </row>
    <row r="18" spans="10:11" x14ac:dyDescent="0.3">
      <c r="J18" s="17"/>
    </row>
    <row r="27" spans="10:11" ht="15" customHeight="1" x14ac:dyDescent="0.3"/>
    <row r="28" spans="10:11" x14ac:dyDescent="0.3">
      <c r="K28" s="5"/>
    </row>
    <row r="33" spans="10:11" x14ac:dyDescent="0.3">
      <c r="J33" s="18" t="s">
        <v>26</v>
      </c>
      <c r="K33" s="4" t="s">
        <v>31</v>
      </c>
    </row>
    <row r="34" spans="10:11" x14ac:dyDescent="0.3">
      <c r="J34" s="20" t="s">
        <v>27</v>
      </c>
      <c r="K34" s="38" t="s">
        <v>30</v>
      </c>
    </row>
    <row r="35" spans="10:11" x14ac:dyDescent="0.3">
      <c r="J35" s="20" t="s">
        <v>28</v>
      </c>
      <c r="K35" s="38" t="s">
        <v>30</v>
      </c>
    </row>
    <row r="36" spans="10:11" x14ac:dyDescent="0.3">
      <c r="J36" s="39" t="s">
        <v>29</v>
      </c>
      <c r="K36" s="40" t="s">
        <v>30</v>
      </c>
    </row>
    <row r="39" spans="10:11" x14ac:dyDescent="0.3">
      <c r="K39" s="19" t="str">
        <f>IF(AND(K34= "OK",K35="OK",K36= "OK"), "Proyecto terminado", "Proyecto no terminado")</f>
        <v>Proyecto terminado</v>
      </c>
    </row>
    <row r="43" spans="10:11" x14ac:dyDescent="0.3">
      <c r="K43" s="19"/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707E96CC9CAA4C4FA9E51328E9D696C1" ma:contentTypeVersion="7" ma:contentTypeDescription="Crear nuevo documento." ma:contentTypeScope="" ma:versionID="ed8f7b3bb7795b8398954839b44fbf25">
  <xsd:schema xmlns:xsd="http://www.w3.org/2001/XMLSchema" xmlns:xs="http://www.w3.org/2001/XMLSchema" xmlns:p="http://schemas.microsoft.com/office/2006/metadata/properties" xmlns:ns2="6cf2ab9d-31cb-45d0-8bca-84ec8861acaa" xmlns:ns3="d6e8056d-9049-411c-b816-dac072e6c67c" targetNamespace="http://schemas.microsoft.com/office/2006/metadata/properties" ma:root="true" ma:fieldsID="a02072e0b3ba0c0c6b07d11b0f01a8da" ns2:_="" ns3:_="">
    <xsd:import namespace="6cf2ab9d-31cb-45d0-8bca-84ec8861acaa"/>
    <xsd:import namespace="d6e8056d-9049-411c-b816-dac072e6c67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DateTaken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f2ab9d-31cb-45d0-8bca-84ec8861aca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1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e8056d-9049-411c-b816-dac072e6c67c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BF13062C-DEC4-43AD-9E49-4C16C3C1C25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2F794DC-8AE9-41A0-99BB-A0A86F11CB5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cf2ab9d-31cb-45d0-8bca-84ec8861acaa"/>
    <ds:schemaRef ds:uri="d6e8056d-9049-411c-b816-dac072e6c67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ACE4395-9530-45ED-9A14-A34A511205EA}">
  <ds:schemaRefs>
    <ds:schemaRef ds:uri="http://schemas.microsoft.com/office/2006/documentManagement/types"/>
    <ds:schemaRef ds:uri="http://schemas.openxmlformats.org/package/2006/metadata/core-properties"/>
    <ds:schemaRef ds:uri="http://schemas.microsoft.com/office/2006/metadata/properties"/>
    <ds:schemaRef ds:uri="http://purl.org/dc/elements/1.1/"/>
    <ds:schemaRef ds:uri="http://www.w3.org/XML/1998/namespace"/>
    <ds:schemaRef ds:uri="http://schemas.microsoft.com/office/infopath/2007/PartnerControls"/>
    <ds:schemaRef ds:uri="d6e8056d-9049-411c-b816-dac072e6c67c"/>
    <ds:schemaRef ds:uri="6cf2ab9d-31cb-45d0-8bca-84ec8861acaa"/>
    <ds:schemaRef ds:uri="http://purl.org/dc/dcmitype/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SI</vt:lpstr>
      <vt:lpstr>SI anidada</vt:lpstr>
      <vt:lpstr>Y y 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José Manuel Pomares Medrano</dc:creator>
  <cp:lastModifiedBy>pepe reina campo</cp:lastModifiedBy>
  <dcterms:created xsi:type="dcterms:W3CDTF">2018-04-30T05:25:24Z</dcterms:created>
  <dcterms:modified xsi:type="dcterms:W3CDTF">2025-05-16T08:53:26Z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0x010100707E96CC9CAA4C4FA9E51328E9D696C1</vt:lpwstr>
  </property>
</Properties>
</file>